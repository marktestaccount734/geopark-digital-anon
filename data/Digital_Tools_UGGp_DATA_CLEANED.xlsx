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ytasmania-my.sharepoint.com/personal/mark_williams_utas_edu_au/Documents/Research/PhD/Data/"/>
    </mc:Choice>
  </mc:AlternateContent>
  <xr:revisionPtr revIDLastSave="2" documentId="8_{84227A50-3343-4413-8418-741DB479B47B}" xr6:coauthVersionLast="47" xr6:coauthVersionMax="47" xr10:uidLastSave="{A7D97D42-B641-4E14-AE3E-E30C60B3B282}"/>
  <bookViews>
    <workbookView xWindow="-28920" yWindow="-120" windowWidth="29040" windowHeight="17520" xr2:uid="{52E79914-F451-47B5-AA49-F275217FA065}"/>
  </bookViews>
  <sheets>
    <sheet name="Cleaned Data UGGp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13" i="1" l="1"/>
  <c r="BQ113" i="1" s="1"/>
  <c r="BO113" i="1"/>
  <c r="BI113" i="1"/>
  <c r="BH113" i="1"/>
  <c r="AX113" i="1"/>
  <c r="AW113" i="1"/>
  <c r="AN113" i="1"/>
  <c r="AM113" i="1"/>
  <c r="AE113" i="1"/>
  <c r="AD113" i="1"/>
  <c r="U113" i="1"/>
  <c r="V113" i="1" s="1"/>
  <c r="S113" i="1"/>
  <c r="E113" i="1"/>
  <c r="BS112" i="1"/>
  <c r="BR112" i="1"/>
  <c r="BT112" i="1" s="1"/>
  <c r="BP112" i="1"/>
  <c r="BQ112" i="1" s="1"/>
  <c r="BO112" i="1"/>
  <c r="BI112" i="1"/>
  <c r="BJ112" i="1" s="1"/>
  <c r="BH112" i="1"/>
  <c r="AX112" i="1"/>
  <c r="AY112" i="1" s="1"/>
  <c r="AN112" i="1"/>
  <c r="AO112" i="1" s="1"/>
  <c r="AW112" i="1" s="1"/>
  <c r="AM112" i="1"/>
  <c r="AE112" i="1"/>
  <c r="AF112" i="1" s="1"/>
  <c r="AD112" i="1"/>
  <c r="U112" i="1"/>
  <c r="V112" i="1" s="1"/>
  <c r="S112" i="1"/>
  <c r="E112" i="1"/>
  <c r="BS111" i="1"/>
  <c r="BR111" i="1"/>
  <c r="BT111" i="1" s="1"/>
  <c r="BP111" i="1"/>
  <c r="BQ111" i="1" s="1"/>
  <c r="BO111" i="1"/>
  <c r="BI111" i="1"/>
  <c r="BJ111" i="1" s="1"/>
  <c r="BH111" i="1"/>
  <c r="AX111" i="1"/>
  <c r="AY111" i="1" s="1"/>
  <c r="AN111" i="1"/>
  <c r="AO111" i="1" s="1"/>
  <c r="AW111" i="1" s="1"/>
  <c r="AM111" i="1"/>
  <c r="AE111" i="1"/>
  <c r="AF111" i="1" s="1"/>
  <c r="AD111" i="1"/>
  <c r="U111" i="1"/>
  <c r="V111" i="1" s="1"/>
  <c r="S111" i="1"/>
  <c r="E111" i="1"/>
  <c r="BS110" i="1"/>
  <c r="BR110" i="1"/>
  <c r="BT110" i="1" s="1"/>
  <c r="BP110" i="1"/>
  <c r="BQ110" i="1" s="1"/>
  <c r="BO110" i="1"/>
  <c r="BI110" i="1"/>
  <c r="BJ110" i="1" s="1"/>
  <c r="BH110" i="1"/>
  <c r="AX110" i="1"/>
  <c r="AY110" i="1" s="1"/>
  <c r="AN110" i="1"/>
  <c r="AO110" i="1" s="1"/>
  <c r="AW110" i="1" s="1"/>
  <c r="AM110" i="1"/>
  <c r="AE110" i="1"/>
  <c r="AF110" i="1" s="1"/>
  <c r="AD110" i="1"/>
  <c r="U110" i="1"/>
  <c r="V110" i="1" s="1"/>
  <c r="S110" i="1"/>
  <c r="E110" i="1"/>
  <c r="BS109" i="1"/>
  <c r="BR109" i="1"/>
  <c r="BT109" i="1" s="1"/>
  <c r="BP109" i="1"/>
  <c r="BQ109" i="1" s="1"/>
  <c r="BO109" i="1"/>
  <c r="BI109" i="1"/>
  <c r="BJ109" i="1" s="1"/>
  <c r="BH109" i="1"/>
  <c r="AX109" i="1"/>
  <c r="AY109" i="1" s="1"/>
  <c r="AN109" i="1"/>
  <c r="AO109" i="1" s="1"/>
  <c r="AW109" i="1" s="1"/>
  <c r="AM109" i="1"/>
  <c r="AE109" i="1"/>
  <c r="AF109" i="1" s="1"/>
  <c r="AD109" i="1"/>
  <c r="U109" i="1"/>
  <c r="V109" i="1" s="1"/>
  <c r="S109" i="1"/>
  <c r="E109" i="1"/>
  <c r="BS108" i="1"/>
  <c r="BR108" i="1"/>
  <c r="BT108" i="1" s="1"/>
  <c r="BP108" i="1"/>
  <c r="BQ108" i="1" s="1"/>
  <c r="BO108" i="1"/>
  <c r="BI108" i="1"/>
  <c r="BJ108" i="1" s="1"/>
  <c r="BH108" i="1"/>
  <c r="AX108" i="1"/>
  <c r="AY108" i="1" s="1"/>
  <c r="AN108" i="1"/>
  <c r="AO108" i="1" s="1"/>
  <c r="AW108" i="1" s="1"/>
  <c r="AM108" i="1"/>
  <c r="AE108" i="1"/>
  <c r="AF108" i="1" s="1"/>
  <c r="AD108" i="1"/>
  <c r="U108" i="1"/>
  <c r="V108" i="1" s="1"/>
  <c r="S108" i="1"/>
  <c r="E108" i="1"/>
  <c r="BS107" i="1"/>
  <c r="BR107" i="1"/>
  <c r="BT107" i="1" s="1"/>
  <c r="BP107" i="1"/>
  <c r="BQ107" i="1" s="1"/>
  <c r="BO107" i="1"/>
  <c r="BI107" i="1"/>
  <c r="BJ107" i="1" s="1"/>
  <c r="BH107" i="1"/>
  <c r="AY107" i="1"/>
  <c r="AX107" i="1"/>
  <c r="AN107" i="1"/>
  <c r="AO107" i="1" s="1"/>
  <c r="AW107" i="1" s="1"/>
  <c r="AM107" i="1"/>
  <c r="AE107" i="1"/>
  <c r="AF107" i="1" s="1"/>
  <c r="AD107" i="1"/>
  <c r="U107" i="1"/>
  <c r="V107" i="1" s="1"/>
  <c r="S107" i="1"/>
  <c r="E107" i="1"/>
  <c r="BS106" i="1"/>
  <c r="BR106" i="1"/>
  <c r="BT106" i="1" s="1"/>
  <c r="BP106" i="1"/>
  <c r="BQ106" i="1" s="1"/>
  <c r="BO106" i="1"/>
  <c r="BI106" i="1"/>
  <c r="BJ106" i="1" s="1"/>
  <c r="BH106" i="1"/>
  <c r="AX106" i="1"/>
  <c r="AY106" i="1" s="1"/>
  <c r="AN106" i="1"/>
  <c r="AO106" i="1" s="1"/>
  <c r="AW106" i="1" s="1"/>
  <c r="AM106" i="1"/>
  <c r="AE106" i="1"/>
  <c r="AF106" i="1" s="1"/>
  <c r="AD106" i="1"/>
  <c r="V106" i="1"/>
  <c r="U106" i="1"/>
  <c r="S106" i="1"/>
  <c r="E106" i="1"/>
  <c r="BS105" i="1"/>
  <c r="BR105" i="1"/>
  <c r="BT105" i="1" s="1"/>
  <c r="BP105" i="1"/>
  <c r="BQ105" i="1" s="1"/>
  <c r="BO105" i="1"/>
  <c r="BI105" i="1"/>
  <c r="BJ105" i="1" s="1"/>
  <c r="BH105" i="1"/>
  <c r="AX105" i="1"/>
  <c r="AY105" i="1" s="1"/>
  <c r="AN105" i="1"/>
  <c r="AO105" i="1" s="1"/>
  <c r="AW105" i="1" s="1"/>
  <c r="AM105" i="1"/>
  <c r="AE105" i="1"/>
  <c r="AF105" i="1" s="1"/>
  <c r="AD105" i="1"/>
  <c r="U105" i="1"/>
  <c r="V105" i="1" s="1"/>
  <c r="S105" i="1"/>
  <c r="E105" i="1"/>
  <c r="BS104" i="1"/>
  <c r="BR104" i="1"/>
  <c r="BT104" i="1" s="1"/>
  <c r="BP104" i="1"/>
  <c r="BQ104" i="1" s="1"/>
  <c r="BO104" i="1"/>
  <c r="BJ104" i="1"/>
  <c r="BI104" i="1"/>
  <c r="BH104" i="1"/>
  <c r="AX104" i="1"/>
  <c r="AY104" i="1" s="1"/>
  <c r="AN104" i="1"/>
  <c r="AO104" i="1" s="1"/>
  <c r="AW104" i="1" s="1"/>
  <c r="AM104" i="1"/>
  <c r="AE104" i="1"/>
  <c r="AF104" i="1" s="1"/>
  <c r="AD104" i="1"/>
  <c r="U104" i="1"/>
  <c r="V104" i="1" s="1"/>
  <c r="S104" i="1"/>
  <c r="E104" i="1"/>
  <c r="BS103" i="1"/>
  <c r="BR103" i="1"/>
  <c r="BT103" i="1" s="1"/>
  <c r="BP103" i="1"/>
  <c r="BQ103" i="1" s="1"/>
  <c r="BO103" i="1"/>
  <c r="BI103" i="1"/>
  <c r="BJ103" i="1" s="1"/>
  <c r="BH103" i="1"/>
  <c r="AX103" i="1"/>
  <c r="AY103" i="1" s="1"/>
  <c r="AN103" i="1"/>
  <c r="AO103" i="1" s="1"/>
  <c r="AW103" i="1" s="1"/>
  <c r="AM103" i="1"/>
  <c r="AE103" i="1"/>
  <c r="AF103" i="1" s="1"/>
  <c r="AD103" i="1"/>
  <c r="U103" i="1"/>
  <c r="V103" i="1" s="1"/>
  <c r="S103" i="1"/>
  <c r="E103" i="1"/>
  <c r="BS102" i="1"/>
  <c r="BR102" i="1"/>
  <c r="BT102" i="1" s="1"/>
  <c r="BP102" i="1"/>
  <c r="BQ102" i="1" s="1"/>
  <c r="BO102" i="1"/>
  <c r="BI102" i="1"/>
  <c r="BJ102" i="1" s="1"/>
  <c r="BH102" i="1"/>
  <c r="AX102" i="1"/>
  <c r="AY102" i="1" s="1"/>
  <c r="AN102" i="1"/>
  <c r="AO102" i="1" s="1"/>
  <c r="AW102" i="1" s="1"/>
  <c r="AM102" i="1"/>
  <c r="AE102" i="1"/>
  <c r="AF102" i="1" s="1"/>
  <c r="AD102" i="1"/>
  <c r="U102" i="1"/>
  <c r="V102" i="1" s="1"/>
  <c r="S102" i="1"/>
  <c r="E102" i="1"/>
  <c r="BS101" i="1"/>
  <c r="BR101" i="1"/>
  <c r="BT101" i="1" s="1"/>
  <c r="BP101" i="1"/>
  <c r="BQ101" i="1" s="1"/>
  <c r="BO101" i="1"/>
  <c r="BI101" i="1"/>
  <c r="BJ101" i="1" s="1"/>
  <c r="BH101" i="1"/>
  <c r="AX101" i="1"/>
  <c r="AY101" i="1" s="1"/>
  <c r="AN101" i="1"/>
  <c r="AO101" i="1" s="1"/>
  <c r="AW101" i="1" s="1"/>
  <c r="AM101" i="1"/>
  <c r="AE101" i="1"/>
  <c r="AF101" i="1" s="1"/>
  <c r="AD101" i="1"/>
  <c r="U101" i="1"/>
  <c r="V101" i="1" s="1"/>
  <c r="S101" i="1"/>
  <c r="E101" i="1"/>
  <c r="BS100" i="1"/>
  <c r="BR100" i="1"/>
  <c r="BT100" i="1" s="1"/>
  <c r="BP100" i="1"/>
  <c r="BQ100" i="1" s="1"/>
  <c r="BO100" i="1"/>
  <c r="BI100" i="1"/>
  <c r="BJ100" i="1" s="1"/>
  <c r="BH100" i="1"/>
  <c r="AX100" i="1"/>
  <c r="AY100" i="1" s="1"/>
  <c r="AN100" i="1"/>
  <c r="AO100" i="1" s="1"/>
  <c r="AW100" i="1" s="1"/>
  <c r="AM100" i="1"/>
  <c r="AE100" i="1"/>
  <c r="AF100" i="1" s="1"/>
  <c r="AD100" i="1"/>
  <c r="U100" i="1"/>
  <c r="V100" i="1" s="1"/>
  <c r="S100" i="1"/>
  <c r="E100" i="1"/>
  <c r="BS99" i="1"/>
  <c r="BR99" i="1"/>
  <c r="BT99" i="1" s="1"/>
  <c r="BP99" i="1"/>
  <c r="BQ99" i="1" s="1"/>
  <c r="BO99" i="1"/>
  <c r="BI99" i="1"/>
  <c r="BJ99" i="1" s="1"/>
  <c r="BH99" i="1"/>
  <c r="AX99" i="1"/>
  <c r="AY99" i="1" s="1"/>
  <c r="AN99" i="1"/>
  <c r="AO99" i="1" s="1"/>
  <c r="AW99" i="1" s="1"/>
  <c r="AM99" i="1"/>
  <c r="AE99" i="1"/>
  <c r="AF99" i="1" s="1"/>
  <c r="AD99" i="1"/>
  <c r="U99" i="1"/>
  <c r="V99" i="1" s="1"/>
  <c r="S99" i="1"/>
  <c r="E99" i="1"/>
  <c r="BS98" i="1"/>
  <c r="BR98" i="1"/>
  <c r="BT98" i="1" s="1"/>
  <c r="BP98" i="1"/>
  <c r="BQ98" i="1" s="1"/>
  <c r="BO98" i="1"/>
  <c r="BI98" i="1"/>
  <c r="BJ98" i="1" s="1"/>
  <c r="BH98" i="1"/>
  <c r="AX98" i="1"/>
  <c r="AY98" i="1" s="1"/>
  <c r="AN98" i="1"/>
  <c r="AO98" i="1" s="1"/>
  <c r="AW98" i="1" s="1"/>
  <c r="AM98" i="1"/>
  <c r="AE98" i="1"/>
  <c r="AF98" i="1" s="1"/>
  <c r="AD98" i="1"/>
  <c r="U98" i="1"/>
  <c r="V98" i="1" s="1"/>
  <c r="S98" i="1"/>
  <c r="E98" i="1"/>
  <c r="BS97" i="1"/>
  <c r="BR97" i="1"/>
  <c r="BT97" i="1" s="1"/>
  <c r="BP97" i="1"/>
  <c r="BQ97" i="1" s="1"/>
  <c r="BO97" i="1"/>
  <c r="BI97" i="1"/>
  <c r="BJ97" i="1" s="1"/>
  <c r="BH97" i="1"/>
  <c r="AX97" i="1"/>
  <c r="AY97" i="1" s="1"/>
  <c r="AO97" i="1"/>
  <c r="AW97" i="1" s="1"/>
  <c r="AN97" i="1"/>
  <c r="AM97" i="1"/>
  <c r="AE97" i="1"/>
  <c r="AF97" i="1" s="1"/>
  <c r="AD97" i="1"/>
  <c r="U97" i="1"/>
  <c r="V97" i="1" s="1"/>
  <c r="S97" i="1"/>
  <c r="E97" i="1"/>
  <c r="BS96" i="1"/>
  <c r="BR96" i="1"/>
  <c r="BT96" i="1" s="1"/>
  <c r="BP96" i="1"/>
  <c r="BQ96" i="1" s="1"/>
  <c r="BO96" i="1"/>
  <c r="BJ96" i="1"/>
  <c r="BI96" i="1"/>
  <c r="BH96" i="1"/>
  <c r="AX96" i="1"/>
  <c r="AY96" i="1" s="1"/>
  <c r="AN96" i="1"/>
  <c r="AO96" i="1" s="1"/>
  <c r="AW96" i="1" s="1"/>
  <c r="AM96" i="1"/>
  <c r="AE96" i="1"/>
  <c r="AF96" i="1" s="1"/>
  <c r="AD96" i="1"/>
  <c r="U96" i="1"/>
  <c r="V96" i="1" s="1"/>
  <c r="S96" i="1"/>
  <c r="E96" i="1"/>
  <c r="BS95" i="1"/>
  <c r="BR95" i="1"/>
  <c r="BT95" i="1" s="1"/>
  <c r="BP95" i="1"/>
  <c r="BQ95" i="1" s="1"/>
  <c r="BO95" i="1"/>
  <c r="BI95" i="1"/>
  <c r="BJ95" i="1" s="1"/>
  <c r="BH95" i="1"/>
  <c r="AX95" i="1"/>
  <c r="AY95" i="1" s="1"/>
  <c r="AN95" i="1"/>
  <c r="AO95" i="1" s="1"/>
  <c r="AW95" i="1" s="1"/>
  <c r="AM95" i="1"/>
  <c r="AE95" i="1"/>
  <c r="AF95" i="1" s="1"/>
  <c r="AD95" i="1"/>
  <c r="U95" i="1"/>
  <c r="V95" i="1" s="1"/>
  <c r="S95" i="1"/>
  <c r="E95" i="1"/>
  <c r="BS94" i="1"/>
  <c r="BR94" i="1"/>
  <c r="BT94" i="1" s="1"/>
  <c r="BP94" i="1"/>
  <c r="BQ94" i="1" s="1"/>
  <c r="BO94" i="1"/>
  <c r="BI94" i="1"/>
  <c r="BJ94" i="1" s="1"/>
  <c r="BH94" i="1"/>
  <c r="AX94" i="1"/>
  <c r="AY94" i="1" s="1"/>
  <c r="AN94" i="1"/>
  <c r="AO94" i="1" s="1"/>
  <c r="AW94" i="1" s="1"/>
  <c r="AM94" i="1"/>
  <c r="AE94" i="1"/>
  <c r="AF94" i="1" s="1"/>
  <c r="AD94" i="1"/>
  <c r="U94" i="1"/>
  <c r="V94" i="1" s="1"/>
  <c r="S94" i="1"/>
  <c r="E94" i="1"/>
  <c r="BP93" i="1"/>
  <c r="BQ93" i="1" s="1"/>
  <c r="BO93" i="1"/>
  <c r="BI93" i="1"/>
  <c r="BH93" i="1"/>
  <c r="AX93" i="1"/>
  <c r="AW93" i="1"/>
  <c r="AN93" i="1"/>
  <c r="AM93" i="1"/>
  <c r="AE93" i="1"/>
  <c r="AD93" i="1"/>
  <c r="U93" i="1"/>
  <c r="V93" i="1" s="1"/>
  <c r="S93" i="1"/>
  <c r="E93" i="1"/>
  <c r="BS92" i="1"/>
  <c r="BR92" i="1"/>
  <c r="BT92" i="1" s="1"/>
  <c r="BP92" i="1"/>
  <c r="BQ92" i="1" s="1"/>
  <c r="BO92" i="1"/>
  <c r="BI92" i="1"/>
  <c r="BJ92" i="1" s="1"/>
  <c r="BH92" i="1"/>
  <c r="AX92" i="1"/>
  <c r="AY92" i="1" s="1"/>
  <c r="AN92" i="1"/>
  <c r="AO92" i="1" s="1"/>
  <c r="AW92" i="1" s="1"/>
  <c r="AM92" i="1"/>
  <c r="AE92" i="1"/>
  <c r="AF92" i="1" s="1"/>
  <c r="AD92" i="1"/>
  <c r="U92" i="1"/>
  <c r="V92" i="1" s="1"/>
  <c r="S92" i="1"/>
  <c r="E92" i="1"/>
  <c r="BP91" i="1"/>
  <c r="BQ91" i="1" s="1"/>
  <c r="BO91" i="1"/>
  <c r="BI91" i="1"/>
  <c r="BH91" i="1"/>
  <c r="AX91" i="1"/>
  <c r="AW91" i="1"/>
  <c r="AN91" i="1"/>
  <c r="AM91" i="1"/>
  <c r="AE91" i="1"/>
  <c r="AD91" i="1"/>
  <c r="U91" i="1"/>
  <c r="V91" i="1" s="1"/>
  <c r="S91" i="1"/>
  <c r="E91" i="1"/>
  <c r="BS90" i="1"/>
  <c r="BR90" i="1"/>
  <c r="BT90" i="1" s="1"/>
  <c r="BP90" i="1"/>
  <c r="BQ90" i="1" s="1"/>
  <c r="BO90" i="1"/>
  <c r="BI90" i="1"/>
  <c r="BJ90" i="1" s="1"/>
  <c r="BH90" i="1"/>
  <c r="AX90" i="1"/>
  <c r="AY90" i="1" s="1"/>
  <c r="AN90" i="1"/>
  <c r="AO90" i="1" s="1"/>
  <c r="AW90" i="1" s="1"/>
  <c r="AM90" i="1"/>
  <c r="AE90" i="1"/>
  <c r="AF90" i="1" s="1"/>
  <c r="AD90" i="1"/>
  <c r="U90" i="1"/>
  <c r="V90" i="1" s="1"/>
  <c r="S90" i="1"/>
  <c r="E90" i="1"/>
  <c r="BS89" i="1"/>
  <c r="BR89" i="1"/>
  <c r="BT89" i="1" s="1"/>
  <c r="BP89" i="1"/>
  <c r="BQ89" i="1" s="1"/>
  <c r="BO89" i="1"/>
  <c r="BI89" i="1"/>
  <c r="BJ89" i="1" s="1"/>
  <c r="BH89" i="1"/>
  <c r="AX89" i="1"/>
  <c r="AY89" i="1" s="1"/>
  <c r="AN89" i="1"/>
  <c r="AO89" i="1" s="1"/>
  <c r="AW89" i="1" s="1"/>
  <c r="AM89" i="1"/>
  <c r="AE89" i="1"/>
  <c r="AF89" i="1" s="1"/>
  <c r="AD89" i="1"/>
  <c r="U89" i="1"/>
  <c r="V89" i="1" s="1"/>
  <c r="S89" i="1"/>
  <c r="E89" i="1"/>
  <c r="BS88" i="1"/>
  <c r="BR88" i="1"/>
  <c r="BT88" i="1" s="1"/>
  <c r="BP88" i="1"/>
  <c r="BQ88" i="1" s="1"/>
  <c r="BO88" i="1"/>
  <c r="BI88" i="1"/>
  <c r="BJ88" i="1" s="1"/>
  <c r="BH88" i="1"/>
  <c r="AX88" i="1"/>
  <c r="AY88" i="1" s="1"/>
  <c r="AO88" i="1"/>
  <c r="AW88" i="1" s="1"/>
  <c r="AN88" i="1"/>
  <c r="AM88" i="1"/>
  <c r="AE88" i="1"/>
  <c r="AF88" i="1" s="1"/>
  <c r="AD88" i="1"/>
  <c r="U88" i="1"/>
  <c r="V88" i="1" s="1"/>
  <c r="S88" i="1"/>
  <c r="E88" i="1"/>
  <c r="BS87" i="1"/>
  <c r="BR87" i="1"/>
  <c r="BT87" i="1" s="1"/>
  <c r="BP87" i="1"/>
  <c r="BQ87" i="1" s="1"/>
  <c r="BO87" i="1"/>
  <c r="BI87" i="1"/>
  <c r="BJ87" i="1" s="1"/>
  <c r="BH87" i="1"/>
  <c r="AX87" i="1"/>
  <c r="AY87" i="1" s="1"/>
  <c r="AN87" i="1"/>
  <c r="AO87" i="1" s="1"/>
  <c r="AW87" i="1" s="1"/>
  <c r="AM87" i="1"/>
  <c r="AE87" i="1"/>
  <c r="AF87" i="1" s="1"/>
  <c r="AD87" i="1"/>
  <c r="U87" i="1"/>
  <c r="V87" i="1" s="1"/>
  <c r="S87" i="1"/>
  <c r="E87" i="1"/>
  <c r="BS86" i="1"/>
  <c r="BR86" i="1"/>
  <c r="BT86" i="1" s="1"/>
  <c r="BP86" i="1"/>
  <c r="BQ86" i="1" s="1"/>
  <c r="BO86" i="1"/>
  <c r="BI86" i="1"/>
  <c r="BJ86" i="1" s="1"/>
  <c r="BH86" i="1"/>
  <c r="AX86" i="1"/>
  <c r="AY86" i="1" s="1"/>
  <c r="AN86" i="1"/>
  <c r="AO86" i="1" s="1"/>
  <c r="AW86" i="1" s="1"/>
  <c r="AM86" i="1"/>
  <c r="AE86" i="1"/>
  <c r="AF86" i="1" s="1"/>
  <c r="AD86" i="1"/>
  <c r="V86" i="1"/>
  <c r="U86" i="1"/>
  <c r="S86" i="1"/>
  <c r="E86" i="1"/>
  <c r="BS85" i="1"/>
  <c r="BR85" i="1"/>
  <c r="BT85" i="1" s="1"/>
  <c r="BP85" i="1"/>
  <c r="BQ85" i="1" s="1"/>
  <c r="BO85" i="1"/>
  <c r="BI85" i="1"/>
  <c r="BJ85" i="1" s="1"/>
  <c r="BH85" i="1"/>
  <c r="AX85" i="1"/>
  <c r="AY85" i="1" s="1"/>
  <c r="AN85" i="1"/>
  <c r="AO85" i="1" s="1"/>
  <c r="AW85" i="1" s="1"/>
  <c r="AM85" i="1"/>
  <c r="AE85" i="1"/>
  <c r="AF85" i="1" s="1"/>
  <c r="AD85" i="1"/>
  <c r="U85" i="1"/>
  <c r="V85" i="1" s="1"/>
  <c r="S85" i="1"/>
  <c r="E85" i="1"/>
  <c r="BS84" i="1"/>
  <c r="BR84" i="1"/>
  <c r="BT84" i="1" s="1"/>
  <c r="BP84" i="1"/>
  <c r="BQ84" i="1" s="1"/>
  <c r="BO84" i="1"/>
  <c r="BI84" i="1"/>
  <c r="BJ84" i="1" s="1"/>
  <c r="BH84" i="1"/>
  <c r="AX84" i="1"/>
  <c r="AY84" i="1" s="1"/>
  <c r="AN84" i="1"/>
  <c r="AO84" i="1" s="1"/>
  <c r="AW84" i="1" s="1"/>
  <c r="AM84" i="1"/>
  <c r="AE84" i="1"/>
  <c r="AF84" i="1" s="1"/>
  <c r="AD84" i="1"/>
  <c r="U84" i="1"/>
  <c r="V84" i="1" s="1"/>
  <c r="S84" i="1"/>
  <c r="E84" i="1"/>
  <c r="BS83" i="1"/>
  <c r="BR83" i="1"/>
  <c r="BT83" i="1" s="1"/>
  <c r="BP83" i="1"/>
  <c r="BQ83" i="1" s="1"/>
  <c r="BO83" i="1"/>
  <c r="BI83" i="1"/>
  <c r="BJ83" i="1" s="1"/>
  <c r="BH83" i="1"/>
  <c r="AY83" i="1"/>
  <c r="AX83" i="1"/>
  <c r="AN83" i="1"/>
  <c r="AO83" i="1" s="1"/>
  <c r="AW83" i="1" s="1"/>
  <c r="AM83" i="1"/>
  <c r="AE83" i="1"/>
  <c r="AF83" i="1" s="1"/>
  <c r="AD83" i="1"/>
  <c r="U83" i="1"/>
  <c r="V83" i="1" s="1"/>
  <c r="S83" i="1"/>
  <c r="E83" i="1"/>
  <c r="BS82" i="1"/>
  <c r="BR82" i="1"/>
  <c r="BT82" i="1" s="1"/>
  <c r="BP82" i="1"/>
  <c r="BQ82" i="1" s="1"/>
  <c r="BO82" i="1"/>
  <c r="BI82" i="1"/>
  <c r="BJ82" i="1" s="1"/>
  <c r="BH82" i="1"/>
  <c r="AX82" i="1"/>
  <c r="AY82" i="1" s="1"/>
  <c r="AN82" i="1"/>
  <c r="AO82" i="1" s="1"/>
  <c r="AW82" i="1" s="1"/>
  <c r="AM82" i="1"/>
  <c r="AE82" i="1"/>
  <c r="AF82" i="1" s="1"/>
  <c r="AD82" i="1"/>
  <c r="V82" i="1"/>
  <c r="U82" i="1"/>
  <c r="S82" i="1"/>
  <c r="E82" i="1"/>
  <c r="BS81" i="1"/>
  <c r="BR81" i="1"/>
  <c r="BT81" i="1" s="1"/>
  <c r="BP81" i="1"/>
  <c r="BQ81" i="1" s="1"/>
  <c r="BO81" i="1"/>
  <c r="BI81" i="1"/>
  <c r="BJ81" i="1" s="1"/>
  <c r="BH81" i="1"/>
  <c r="AX81" i="1"/>
  <c r="AY81" i="1" s="1"/>
  <c r="AN81" i="1"/>
  <c r="AO81" i="1" s="1"/>
  <c r="AW81" i="1" s="1"/>
  <c r="AM81" i="1"/>
  <c r="AE81" i="1"/>
  <c r="AF81" i="1" s="1"/>
  <c r="AD81" i="1"/>
  <c r="U81" i="1"/>
  <c r="V81" i="1" s="1"/>
  <c r="S81" i="1"/>
  <c r="E81" i="1"/>
  <c r="BS80" i="1"/>
  <c r="BR80" i="1"/>
  <c r="BT80" i="1" s="1"/>
  <c r="BP80" i="1"/>
  <c r="BQ80" i="1" s="1"/>
  <c r="BO80" i="1"/>
  <c r="BI80" i="1"/>
  <c r="BJ80" i="1" s="1"/>
  <c r="BH80" i="1"/>
  <c r="AX80" i="1"/>
  <c r="AY80" i="1" s="1"/>
  <c r="AN80" i="1"/>
  <c r="AO80" i="1" s="1"/>
  <c r="AW80" i="1" s="1"/>
  <c r="AM80" i="1"/>
  <c r="AE80" i="1"/>
  <c r="AF80" i="1" s="1"/>
  <c r="AD80" i="1"/>
  <c r="U80" i="1"/>
  <c r="V80" i="1" s="1"/>
  <c r="S80" i="1"/>
  <c r="E80" i="1"/>
  <c r="BS79" i="1"/>
  <c r="BR79" i="1"/>
  <c r="BT79" i="1" s="1"/>
  <c r="BP79" i="1"/>
  <c r="BQ79" i="1" s="1"/>
  <c r="BO79" i="1"/>
  <c r="BI79" i="1"/>
  <c r="BJ79" i="1" s="1"/>
  <c r="BH79" i="1"/>
  <c r="AX79" i="1"/>
  <c r="AY79" i="1" s="1"/>
  <c r="AN79" i="1"/>
  <c r="AO79" i="1" s="1"/>
  <c r="AW79" i="1" s="1"/>
  <c r="AM79" i="1"/>
  <c r="AF79" i="1"/>
  <c r="AE79" i="1"/>
  <c r="AD79" i="1"/>
  <c r="U79" i="1"/>
  <c r="V79" i="1" s="1"/>
  <c r="S79" i="1"/>
  <c r="E79" i="1"/>
  <c r="BS78" i="1"/>
  <c r="BR78" i="1"/>
  <c r="BT78" i="1" s="1"/>
  <c r="BP78" i="1"/>
  <c r="BQ78" i="1" s="1"/>
  <c r="BO78" i="1"/>
  <c r="BI78" i="1"/>
  <c r="BJ78" i="1" s="1"/>
  <c r="BH78" i="1"/>
  <c r="AX78" i="1"/>
  <c r="AY78" i="1" s="1"/>
  <c r="AN78" i="1"/>
  <c r="AO78" i="1" s="1"/>
  <c r="AW78" i="1" s="1"/>
  <c r="AM78" i="1"/>
  <c r="AE78" i="1"/>
  <c r="AF78" i="1" s="1"/>
  <c r="AD78" i="1"/>
  <c r="U78" i="1"/>
  <c r="V78" i="1" s="1"/>
  <c r="S78" i="1"/>
  <c r="E78" i="1"/>
  <c r="BS77" i="1"/>
  <c r="BR77" i="1"/>
  <c r="BT77" i="1" s="1"/>
  <c r="BP77" i="1"/>
  <c r="BQ77" i="1" s="1"/>
  <c r="BO77" i="1"/>
  <c r="BI77" i="1"/>
  <c r="BJ77" i="1" s="1"/>
  <c r="BH77" i="1"/>
  <c r="AX77" i="1"/>
  <c r="AY77" i="1" s="1"/>
  <c r="AN77" i="1"/>
  <c r="AO77" i="1" s="1"/>
  <c r="AW77" i="1" s="1"/>
  <c r="AM77" i="1"/>
  <c r="AF77" i="1"/>
  <c r="AE77" i="1"/>
  <c r="AD77" i="1"/>
  <c r="U77" i="1"/>
  <c r="V77" i="1" s="1"/>
  <c r="S77" i="1"/>
  <c r="E77" i="1"/>
  <c r="BS76" i="1"/>
  <c r="BR76" i="1"/>
  <c r="BT76" i="1" s="1"/>
  <c r="BP76" i="1"/>
  <c r="BQ76" i="1" s="1"/>
  <c r="BO76" i="1"/>
  <c r="BI76" i="1"/>
  <c r="BJ76" i="1" s="1"/>
  <c r="BH76" i="1"/>
  <c r="AX76" i="1"/>
  <c r="AY76" i="1" s="1"/>
  <c r="AN76" i="1"/>
  <c r="AO76" i="1" s="1"/>
  <c r="AW76" i="1" s="1"/>
  <c r="AM76" i="1"/>
  <c r="AE76" i="1"/>
  <c r="AF76" i="1" s="1"/>
  <c r="AD76" i="1"/>
  <c r="U76" i="1"/>
  <c r="V76" i="1" s="1"/>
  <c r="S76" i="1"/>
  <c r="E76" i="1"/>
  <c r="BS75" i="1"/>
  <c r="BR75" i="1"/>
  <c r="BT75" i="1" s="1"/>
  <c r="BP75" i="1"/>
  <c r="BQ75" i="1" s="1"/>
  <c r="BO75" i="1"/>
  <c r="BI75" i="1"/>
  <c r="BJ75" i="1" s="1"/>
  <c r="BH75" i="1"/>
  <c r="AX75" i="1"/>
  <c r="AY75" i="1" s="1"/>
  <c r="AN75" i="1"/>
  <c r="AO75" i="1" s="1"/>
  <c r="AW75" i="1" s="1"/>
  <c r="AM75" i="1"/>
  <c r="AF75" i="1"/>
  <c r="AE75" i="1"/>
  <c r="AD75" i="1"/>
  <c r="U75" i="1"/>
  <c r="V75" i="1" s="1"/>
  <c r="S75" i="1"/>
  <c r="E75" i="1"/>
  <c r="BS74" i="1"/>
  <c r="BR74" i="1"/>
  <c r="BT74" i="1" s="1"/>
  <c r="BP74" i="1"/>
  <c r="BQ74" i="1" s="1"/>
  <c r="BO74" i="1"/>
  <c r="BI74" i="1"/>
  <c r="BJ74" i="1" s="1"/>
  <c r="BH74" i="1"/>
  <c r="AX74" i="1"/>
  <c r="AY74" i="1" s="1"/>
  <c r="AN74" i="1"/>
  <c r="AO74" i="1" s="1"/>
  <c r="AW74" i="1" s="1"/>
  <c r="AM74" i="1"/>
  <c r="AE74" i="1"/>
  <c r="AF74" i="1" s="1"/>
  <c r="AD74" i="1"/>
  <c r="U74" i="1"/>
  <c r="V74" i="1" s="1"/>
  <c r="S74" i="1"/>
  <c r="E74" i="1"/>
  <c r="BS73" i="1"/>
  <c r="BR73" i="1"/>
  <c r="BT73" i="1" s="1"/>
  <c r="BQ73" i="1"/>
  <c r="BP73" i="1"/>
  <c r="BO73" i="1"/>
  <c r="BI73" i="1"/>
  <c r="BJ73" i="1" s="1"/>
  <c r="BH73" i="1"/>
  <c r="AX73" i="1"/>
  <c r="AY73" i="1" s="1"/>
  <c r="AN73" i="1"/>
  <c r="AO73" i="1" s="1"/>
  <c r="AW73" i="1" s="1"/>
  <c r="AM73" i="1"/>
  <c r="AE73" i="1"/>
  <c r="AF73" i="1" s="1"/>
  <c r="AD73" i="1"/>
  <c r="U73" i="1"/>
  <c r="V73" i="1" s="1"/>
  <c r="S73" i="1"/>
  <c r="E73" i="1"/>
  <c r="BS72" i="1"/>
  <c r="BR72" i="1"/>
  <c r="BT72" i="1" s="1"/>
  <c r="BP72" i="1"/>
  <c r="BQ72" i="1" s="1"/>
  <c r="BO72" i="1"/>
  <c r="BJ72" i="1"/>
  <c r="BI72" i="1"/>
  <c r="BH72" i="1"/>
  <c r="AX72" i="1"/>
  <c r="AY72" i="1" s="1"/>
  <c r="AN72" i="1"/>
  <c r="AO72" i="1" s="1"/>
  <c r="AW72" i="1" s="1"/>
  <c r="AM72" i="1"/>
  <c r="AE72" i="1"/>
  <c r="AF72" i="1" s="1"/>
  <c r="AD72" i="1"/>
  <c r="U72" i="1"/>
  <c r="V72" i="1" s="1"/>
  <c r="S72" i="1"/>
  <c r="E72" i="1"/>
  <c r="BS71" i="1"/>
  <c r="BR71" i="1"/>
  <c r="BT71" i="1" s="1"/>
  <c r="BP71" i="1"/>
  <c r="BQ71" i="1" s="1"/>
  <c r="BO71" i="1"/>
  <c r="BI71" i="1"/>
  <c r="BJ71" i="1" s="1"/>
  <c r="BH71" i="1"/>
  <c r="AX71" i="1"/>
  <c r="AY71" i="1" s="1"/>
  <c r="AN71" i="1"/>
  <c r="AO71" i="1" s="1"/>
  <c r="AW71" i="1" s="1"/>
  <c r="AM71" i="1"/>
  <c r="AE71" i="1"/>
  <c r="AF71" i="1" s="1"/>
  <c r="AD71" i="1"/>
  <c r="U71" i="1"/>
  <c r="V71" i="1" s="1"/>
  <c r="S71" i="1"/>
  <c r="E71" i="1"/>
  <c r="BS70" i="1"/>
  <c r="BR70" i="1"/>
  <c r="BT70" i="1" s="1"/>
  <c r="BP70" i="1"/>
  <c r="BQ70" i="1" s="1"/>
  <c r="BO70" i="1"/>
  <c r="BI70" i="1"/>
  <c r="BJ70" i="1" s="1"/>
  <c r="BH70" i="1"/>
  <c r="AX70" i="1"/>
  <c r="AY70" i="1" s="1"/>
  <c r="AN70" i="1"/>
  <c r="AO70" i="1" s="1"/>
  <c r="AW70" i="1" s="1"/>
  <c r="AM70" i="1"/>
  <c r="AE70" i="1"/>
  <c r="AF70" i="1" s="1"/>
  <c r="AD70" i="1"/>
  <c r="U70" i="1"/>
  <c r="V70" i="1" s="1"/>
  <c r="S70" i="1"/>
  <c r="E70" i="1"/>
  <c r="BS69" i="1"/>
  <c r="BR69" i="1"/>
  <c r="BT69" i="1" s="1"/>
  <c r="BQ69" i="1"/>
  <c r="BP69" i="1"/>
  <c r="BO69" i="1"/>
  <c r="BI69" i="1"/>
  <c r="BJ69" i="1" s="1"/>
  <c r="BH69" i="1"/>
  <c r="AX69" i="1"/>
  <c r="AY69" i="1" s="1"/>
  <c r="AN69" i="1"/>
  <c r="AO69" i="1" s="1"/>
  <c r="AW69" i="1" s="1"/>
  <c r="AM69" i="1"/>
  <c r="AE69" i="1"/>
  <c r="AF69" i="1" s="1"/>
  <c r="AD69" i="1"/>
  <c r="U69" i="1"/>
  <c r="V69" i="1" s="1"/>
  <c r="S69" i="1"/>
  <c r="E69" i="1"/>
  <c r="BS68" i="1"/>
  <c r="BR68" i="1"/>
  <c r="BT68" i="1" s="1"/>
  <c r="BP68" i="1"/>
  <c r="BQ68" i="1" s="1"/>
  <c r="BO68" i="1"/>
  <c r="BJ68" i="1"/>
  <c r="BI68" i="1"/>
  <c r="BH68" i="1"/>
  <c r="AX68" i="1"/>
  <c r="AY68" i="1" s="1"/>
  <c r="AN68" i="1"/>
  <c r="AO68" i="1" s="1"/>
  <c r="AW68" i="1" s="1"/>
  <c r="AM68" i="1"/>
  <c r="AE68" i="1"/>
  <c r="AF68" i="1" s="1"/>
  <c r="AD68" i="1"/>
  <c r="U68" i="1"/>
  <c r="V68" i="1" s="1"/>
  <c r="S68" i="1"/>
  <c r="E68" i="1"/>
  <c r="BS67" i="1"/>
  <c r="BR67" i="1"/>
  <c r="BT67" i="1" s="1"/>
  <c r="BP67" i="1"/>
  <c r="BQ67" i="1" s="1"/>
  <c r="BO67" i="1"/>
  <c r="BI67" i="1"/>
  <c r="BJ67" i="1" s="1"/>
  <c r="BH67" i="1"/>
  <c r="AX67" i="1"/>
  <c r="AY67" i="1" s="1"/>
  <c r="AN67" i="1"/>
  <c r="AO67" i="1" s="1"/>
  <c r="AW67" i="1" s="1"/>
  <c r="AM67" i="1"/>
  <c r="AE67" i="1"/>
  <c r="AF67" i="1" s="1"/>
  <c r="AD67" i="1"/>
  <c r="U67" i="1"/>
  <c r="V67" i="1" s="1"/>
  <c r="S67" i="1"/>
  <c r="E67" i="1"/>
  <c r="BS66" i="1"/>
  <c r="BR66" i="1"/>
  <c r="BT66" i="1" s="1"/>
  <c r="BP66" i="1"/>
  <c r="BQ66" i="1" s="1"/>
  <c r="BO66" i="1"/>
  <c r="BI66" i="1"/>
  <c r="BJ66" i="1" s="1"/>
  <c r="BH66" i="1"/>
  <c r="AX66" i="1"/>
  <c r="AY66" i="1" s="1"/>
  <c r="AN66" i="1"/>
  <c r="AO66" i="1" s="1"/>
  <c r="AW66" i="1" s="1"/>
  <c r="AM66" i="1"/>
  <c r="AE66" i="1"/>
  <c r="AF66" i="1" s="1"/>
  <c r="AD66" i="1"/>
  <c r="U66" i="1"/>
  <c r="V66" i="1" s="1"/>
  <c r="S66" i="1"/>
  <c r="E66" i="1"/>
  <c r="BS65" i="1"/>
  <c r="BR65" i="1"/>
  <c r="BT65" i="1" s="1"/>
  <c r="BP65" i="1"/>
  <c r="BQ65" i="1" s="1"/>
  <c r="BO65" i="1"/>
  <c r="BI65" i="1"/>
  <c r="BJ65" i="1" s="1"/>
  <c r="BH65" i="1"/>
  <c r="AX65" i="1"/>
  <c r="AY65" i="1" s="1"/>
  <c r="AN65" i="1"/>
  <c r="AO65" i="1" s="1"/>
  <c r="AW65" i="1" s="1"/>
  <c r="AM65" i="1"/>
  <c r="AE65" i="1"/>
  <c r="AF65" i="1" s="1"/>
  <c r="AD65" i="1"/>
  <c r="U65" i="1"/>
  <c r="V65" i="1" s="1"/>
  <c r="S65" i="1"/>
  <c r="E65" i="1"/>
  <c r="BS64" i="1"/>
  <c r="BR64" i="1"/>
  <c r="BT64" i="1" s="1"/>
  <c r="BP64" i="1"/>
  <c r="BQ64" i="1" s="1"/>
  <c r="BO64" i="1"/>
  <c r="BI64" i="1"/>
  <c r="BJ64" i="1" s="1"/>
  <c r="BH64" i="1"/>
  <c r="AX64" i="1"/>
  <c r="AY64" i="1" s="1"/>
  <c r="AN64" i="1"/>
  <c r="AO64" i="1" s="1"/>
  <c r="AW64" i="1" s="1"/>
  <c r="AM64" i="1"/>
  <c r="AE64" i="1"/>
  <c r="AF64" i="1" s="1"/>
  <c r="AD64" i="1"/>
  <c r="U64" i="1"/>
  <c r="V64" i="1" s="1"/>
  <c r="S64" i="1"/>
  <c r="E64" i="1"/>
  <c r="BS63" i="1"/>
  <c r="BR63" i="1"/>
  <c r="BT63" i="1" s="1"/>
  <c r="BQ63" i="1"/>
  <c r="BP63" i="1"/>
  <c r="BO63" i="1"/>
  <c r="BI63" i="1"/>
  <c r="BJ63" i="1" s="1"/>
  <c r="BH63" i="1"/>
  <c r="AX63" i="1"/>
  <c r="AY63" i="1" s="1"/>
  <c r="AN63" i="1"/>
  <c r="AO63" i="1" s="1"/>
  <c r="AW63" i="1" s="1"/>
  <c r="AM63" i="1"/>
  <c r="AE63" i="1"/>
  <c r="AF63" i="1" s="1"/>
  <c r="AD63" i="1"/>
  <c r="U63" i="1"/>
  <c r="V63" i="1" s="1"/>
  <c r="S63" i="1"/>
  <c r="E63" i="1"/>
  <c r="BS62" i="1"/>
  <c r="BR62" i="1"/>
  <c r="BT62" i="1" s="1"/>
  <c r="BP62" i="1"/>
  <c r="BQ62" i="1" s="1"/>
  <c r="BO62" i="1"/>
  <c r="BJ62" i="1"/>
  <c r="BI62" i="1"/>
  <c r="BH62" i="1"/>
  <c r="AX62" i="1"/>
  <c r="AY62" i="1" s="1"/>
  <c r="AN62" i="1"/>
  <c r="AO62" i="1" s="1"/>
  <c r="AW62" i="1" s="1"/>
  <c r="AM62" i="1"/>
  <c r="AE62" i="1"/>
  <c r="AF62" i="1" s="1"/>
  <c r="AD62" i="1"/>
  <c r="U62" i="1"/>
  <c r="V62" i="1" s="1"/>
  <c r="S62" i="1"/>
  <c r="E62" i="1"/>
  <c r="BS61" i="1"/>
  <c r="BR61" i="1"/>
  <c r="BT61" i="1" s="1"/>
  <c r="BP61" i="1"/>
  <c r="BQ61" i="1" s="1"/>
  <c r="BO61" i="1"/>
  <c r="BI61" i="1"/>
  <c r="BJ61" i="1" s="1"/>
  <c r="BH61" i="1"/>
  <c r="AX61" i="1"/>
  <c r="AY61" i="1" s="1"/>
  <c r="AN61" i="1"/>
  <c r="AO61" i="1" s="1"/>
  <c r="AW61" i="1" s="1"/>
  <c r="AM61" i="1"/>
  <c r="AE61" i="1"/>
  <c r="AF61" i="1" s="1"/>
  <c r="AD61" i="1"/>
  <c r="U61" i="1"/>
  <c r="V61" i="1" s="1"/>
  <c r="S61" i="1"/>
  <c r="E61" i="1"/>
  <c r="BS60" i="1"/>
  <c r="BR60" i="1"/>
  <c r="BT60" i="1" s="1"/>
  <c r="BP60" i="1"/>
  <c r="BQ60" i="1" s="1"/>
  <c r="BO60" i="1"/>
  <c r="BI60" i="1"/>
  <c r="BJ60" i="1" s="1"/>
  <c r="BH60" i="1"/>
  <c r="AX60" i="1"/>
  <c r="AY60" i="1" s="1"/>
  <c r="AN60" i="1"/>
  <c r="AO60" i="1" s="1"/>
  <c r="AW60" i="1" s="1"/>
  <c r="AM60" i="1"/>
  <c r="AE60" i="1"/>
  <c r="AF60" i="1" s="1"/>
  <c r="AD60" i="1"/>
  <c r="U60" i="1"/>
  <c r="V60" i="1" s="1"/>
  <c r="S60" i="1"/>
  <c r="E60" i="1"/>
  <c r="BS59" i="1"/>
  <c r="BR59" i="1"/>
  <c r="BT59" i="1" s="1"/>
  <c r="BP59" i="1"/>
  <c r="BQ59" i="1" s="1"/>
  <c r="BO59" i="1"/>
  <c r="BI59" i="1"/>
  <c r="BJ59" i="1" s="1"/>
  <c r="BH59" i="1"/>
  <c r="AX59" i="1"/>
  <c r="AY59" i="1" s="1"/>
  <c r="AN59" i="1"/>
  <c r="AO59" i="1" s="1"/>
  <c r="AW59" i="1" s="1"/>
  <c r="AM59" i="1"/>
  <c r="AE59" i="1"/>
  <c r="AF59" i="1" s="1"/>
  <c r="AD59" i="1"/>
  <c r="U59" i="1"/>
  <c r="V59" i="1" s="1"/>
  <c r="S59" i="1"/>
  <c r="E59" i="1"/>
  <c r="BS58" i="1"/>
  <c r="BR58" i="1"/>
  <c r="BT58" i="1" s="1"/>
  <c r="BP58" i="1"/>
  <c r="BQ58" i="1" s="1"/>
  <c r="BO58" i="1"/>
  <c r="BJ58" i="1"/>
  <c r="BI58" i="1"/>
  <c r="BH58" i="1"/>
  <c r="AX58" i="1"/>
  <c r="AY58" i="1" s="1"/>
  <c r="AN58" i="1"/>
  <c r="AO58" i="1" s="1"/>
  <c r="AW58" i="1" s="1"/>
  <c r="AM58" i="1"/>
  <c r="AE58" i="1"/>
  <c r="AF58" i="1" s="1"/>
  <c r="AD58" i="1"/>
  <c r="U58" i="1"/>
  <c r="V58" i="1" s="1"/>
  <c r="S58" i="1"/>
  <c r="E58" i="1"/>
  <c r="BS57" i="1"/>
  <c r="BR57" i="1"/>
  <c r="BT57" i="1" s="1"/>
  <c r="BQ57" i="1"/>
  <c r="BP57" i="1"/>
  <c r="BO57" i="1"/>
  <c r="BI57" i="1"/>
  <c r="BJ57" i="1" s="1"/>
  <c r="BH57" i="1"/>
  <c r="AX57" i="1"/>
  <c r="AY57" i="1" s="1"/>
  <c r="AN57" i="1"/>
  <c r="AO57" i="1" s="1"/>
  <c r="AW57" i="1" s="1"/>
  <c r="AM57" i="1"/>
  <c r="AE57" i="1"/>
  <c r="AF57" i="1" s="1"/>
  <c r="AD57" i="1"/>
  <c r="U57" i="1"/>
  <c r="V57" i="1" s="1"/>
  <c r="S57" i="1"/>
  <c r="E57" i="1"/>
  <c r="BS56" i="1"/>
  <c r="BR56" i="1"/>
  <c r="BT56" i="1" s="1"/>
  <c r="BP56" i="1"/>
  <c r="BQ56" i="1" s="1"/>
  <c r="BO56" i="1"/>
  <c r="BJ56" i="1"/>
  <c r="BI56" i="1"/>
  <c r="BH56" i="1"/>
  <c r="AX56" i="1"/>
  <c r="AY56" i="1" s="1"/>
  <c r="AN56" i="1"/>
  <c r="AO56" i="1" s="1"/>
  <c r="AW56" i="1" s="1"/>
  <c r="AM56" i="1"/>
  <c r="AE56" i="1"/>
  <c r="AF56" i="1" s="1"/>
  <c r="AD56" i="1"/>
  <c r="U56" i="1"/>
  <c r="V56" i="1" s="1"/>
  <c r="S56" i="1"/>
  <c r="E56" i="1"/>
  <c r="BS55" i="1"/>
  <c r="BR55" i="1"/>
  <c r="BT55" i="1" s="1"/>
  <c r="BP55" i="1"/>
  <c r="BQ55" i="1" s="1"/>
  <c r="BO55" i="1"/>
  <c r="BI55" i="1"/>
  <c r="BJ55" i="1" s="1"/>
  <c r="BH55" i="1"/>
  <c r="AX55" i="1"/>
  <c r="AY55" i="1" s="1"/>
  <c r="AN55" i="1"/>
  <c r="AO55" i="1" s="1"/>
  <c r="AW55" i="1" s="1"/>
  <c r="AM55" i="1"/>
  <c r="AE55" i="1"/>
  <c r="AF55" i="1" s="1"/>
  <c r="AD55" i="1"/>
  <c r="U55" i="1"/>
  <c r="V55" i="1" s="1"/>
  <c r="S55" i="1"/>
  <c r="E55" i="1"/>
  <c r="BS54" i="1"/>
  <c r="BR54" i="1"/>
  <c r="BT54" i="1" s="1"/>
  <c r="BP54" i="1"/>
  <c r="BQ54" i="1" s="1"/>
  <c r="BO54" i="1"/>
  <c r="BI54" i="1"/>
  <c r="BJ54" i="1" s="1"/>
  <c r="BH54" i="1"/>
  <c r="AX54" i="1"/>
  <c r="AY54" i="1" s="1"/>
  <c r="AN54" i="1"/>
  <c r="AO54" i="1" s="1"/>
  <c r="AW54" i="1" s="1"/>
  <c r="AM54" i="1"/>
  <c r="AE54" i="1"/>
  <c r="AF54" i="1" s="1"/>
  <c r="AD54" i="1"/>
  <c r="U54" i="1"/>
  <c r="V54" i="1" s="1"/>
  <c r="S54" i="1"/>
  <c r="E54" i="1"/>
  <c r="BS53" i="1"/>
  <c r="BR53" i="1"/>
  <c r="BT53" i="1" s="1"/>
  <c r="BP53" i="1"/>
  <c r="BQ53" i="1" s="1"/>
  <c r="BO53" i="1"/>
  <c r="BI53" i="1"/>
  <c r="BJ53" i="1" s="1"/>
  <c r="BH53" i="1"/>
  <c r="AX53" i="1"/>
  <c r="AY53" i="1" s="1"/>
  <c r="AN53" i="1"/>
  <c r="AO53" i="1" s="1"/>
  <c r="AW53" i="1" s="1"/>
  <c r="AM53" i="1"/>
  <c r="AE53" i="1"/>
  <c r="AF53" i="1" s="1"/>
  <c r="AD53" i="1"/>
  <c r="U53" i="1"/>
  <c r="V53" i="1" s="1"/>
  <c r="S53" i="1"/>
  <c r="E53" i="1"/>
  <c r="BS52" i="1"/>
  <c r="BR52" i="1"/>
  <c r="BT52" i="1" s="1"/>
  <c r="BP52" i="1"/>
  <c r="BQ52" i="1" s="1"/>
  <c r="BO52" i="1"/>
  <c r="BI52" i="1"/>
  <c r="BJ52" i="1" s="1"/>
  <c r="BH52" i="1"/>
  <c r="AX52" i="1"/>
  <c r="AY52" i="1" s="1"/>
  <c r="AN52" i="1"/>
  <c r="AO52" i="1" s="1"/>
  <c r="AW52" i="1" s="1"/>
  <c r="AM52" i="1"/>
  <c r="AE52" i="1"/>
  <c r="AF52" i="1" s="1"/>
  <c r="AD52" i="1"/>
  <c r="U52" i="1"/>
  <c r="V52" i="1" s="1"/>
  <c r="S52" i="1"/>
  <c r="E52" i="1"/>
  <c r="BS51" i="1"/>
  <c r="BR51" i="1"/>
  <c r="BT51" i="1" s="1"/>
  <c r="BQ51" i="1"/>
  <c r="BP51" i="1"/>
  <c r="BO51" i="1"/>
  <c r="BI51" i="1"/>
  <c r="BJ51" i="1" s="1"/>
  <c r="BH51" i="1"/>
  <c r="AX51" i="1"/>
  <c r="AY51" i="1" s="1"/>
  <c r="AN51" i="1"/>
  <c r="AO51" i="1" s="1"/>
  <c r="AW51" i="1" s="1"/>
  <c r="AM51" i="1"/>
  <c r="AE51" i="1"/>
  <c r="AF51" i="1" s="1"/>
  <c r="AD51" i="1"/>
  <c r="U51" i="1"/>
  <c r="V51" i="1" s="1"/>
  <c r="S51" i="1"/>
  <c r="E51" i="1"/>
  <c r="BS50" i="1"/>
  <c r="BR50" i="1"/>
  <c r="BT50" i="1" s="1"/>
  <c r="BQ50" i="1"/>
  <c r="BP50" i="1"/>
  <c r="BO50" i="1"/>
  <c r="BI50" i="1"/>
  <c r="BJ50" i="1" s="1"/>
  <c r="BH50" i="1"/>
  <c r="AX50" i="1"/>
  <c r="AY50" i="1" s="1"/>
  <c r="AN50" i="1"/>
  <c r="AO50" i="1" s="1"/>
  <c r="AW50" i="1" s="1"/>
  <c r="AM50" i="1"/>
  <c r="AE50" i="1"/>
  <c r="AF50" i="1" s="1"/>
  <c r="AD50" i="1"/>
  <c r="U50" i="1"/>
  <c r="V50" i="1" s="1"/>
  <c r="S50" i="1"/>
  <c r="E50" i="1"/>
  <c r="BS49" i="1"/>
  <c r="BR49" i="1"/>
  <c r="BT49" i="1" s="1"/>
  <c r="BP49" i="1"/>
  <c r="BQ49" i="1" s="1"/>
  <c r="BO49" i="1"/>
  <c r="BI49" i="1"/>
  <c r="BJ49" i="1" s="1"/>
  <c r="BH49" i="1"/>
  <c r="AX49" i="1"/>
  <c r="AY49" i="1" s="1"/>
  <c r="AN49" i="1"/>
  <c r="AO49" i="1" s="1"/>
  <c r="AW49" i="1" s="1"/>
  <c r="AM49" i="1"/>
  <c r="AE49" i="1"/>
  <c r="AF49" i="1" s="1"/>
  <c r="AD49" i="1"/>
  <c r="U49" i="1"/>
  <c r="V49" i="1" s="1"/>
  <c r="S49" i="1"/>
  <c r="E49" i="1"/>
  <c r="BS48" i="1"/>
  <c r="BR48" i="1"/>
  <c r="BT48" i="1" s="1"/>
  <c r="BP48" i="1"/>
  <c r="BQ48" i="1" s="1"/>
  <c r="BO48" i="1"/>
  <c r="BI48" i="1"/>
  <c r="BJ48" i="1" s="1"/>
  <c r="BH48" i="1"/>
  <c r="AX48" i="1"/>
  <c r="AY48" i="1" s="1"/>
  <c r="AO48" i="1"/>
  <c r="AW48" i="1" s="1"/>
  <c r="AN48" i="1"/>
  <c r="AM48" i="1"/>
  <c r="AE48" i="1"/>
  <c r="AF48" i="1" s="1"/>
  <c r="AD48" i="1"/>
  <c r="U48" i="1"/>
  <c r="V48" i="1" s="1"/>
  <c r="S48" i="1"/>
  <c r="E48" i="1"/>
  <c r="BS47" i="1"/>
  <c r="BR47" i="1"/>
  <c r="BT47" i="1" s="1"/>
  <c r="BP47" i="1"/>
  <c r="BQ47" i="1" s="1"/>
  <c r="BO47" i="1"/>
  <c r="BI47" i="1"/>
  <c r="BJ47" i="1" s="1"/>
  <c r="BH47" i="1"/>
  <c r="AX47" i="1"/>
  <c r="AY47" i="1" s="1"/>
  <c r="AN47" i="1"/>
  <c r="AO47" i="1" s="1"/>
  <c r="AW47" i="1" s="1"/>
  <c r="AM47" i="1"/>
  <c r="AE47" i="1"/>
  <c r="AF47" i="1" s="1"/>
  <c r="AD47" i="1"/>
  <c r="U47" i="1"/>
  <c r="V47" i="1" s="1"/>
  <c r="S47" i="1"/>
  <c r="E47" i="1"/>
  <c r="BS46" i="1"/>
  <c r="BR46" i="1"/>
  <c r="BT46" i="1" s="1"/>
  <c r="BP46" i="1"/>
  <c r="BQ46" i="1" s="1"/>
  <c r="BO46" i="1"/>
  <c r="BI46" i="1"/>
  <c r="BJ46" i="1" s="1"/>
  <c r="BH46" i="1"/>
  <c r="AX46" i="1"/>
  <c r="AY46" i="1" s="1"/>
  <c r="AN46" i="1"/>
  <c r="AO46" i="1" s="1"/>
  <c r="AW46" i="1" s="1"/>
  <c r="AM46" i="1"/>
  <c r="AE46" i="1"/>
  <c r="AF46" i="1" s="1"/>
  <c r="AD46" i="1"/>
  <c r="U46" i="1"/>
  <c r="V46" i="1" s="1"/>
  <c r="S46" i="1"/>
  <c r="E46" i="1"/>
  <c r="BS45" i="1"/>
  <c r="BR45" i="1"/>
  <c r="BT45" i="1" s="1"/>
  <c r="BP45" i="1"/>
  <c r="BQ45" i="1" s="1"/>
  <c r="BO45" i="1"/>
  <c r="BI45" i="1"/>
  <c r="BJ45" i="1" s="1"/>
  <c r="BH45" i="1"/>
  <c r="AX45" i="1"/>
  <c r="AY45" i="1" s="1"/>
  <c r="AN45" i="1"/>
  <c r="AO45" i="1" s="1"/>
  <c r="AW45" i="1" s="1"/>
  <c r="AM45" i="1"/>
  <c r="AE45" i="1"/>
  <c r="AF45" i="1" s="1"/>
  <c r="AD45" i="1"/>
  <c r="U45" i="1"/>
  <c r="V45" i="1" s="1"/>
  <c r="S45" i="1"/>
  <c r="E45" i="1"/>
  <c r="BS44" i="1"/>
  <c r="BR44" i="1"/>
  <c r="BT44" i="1" s="1"/>
  <c r="BP44" i="1"/>
  <c r="BQ44" i="1" s="1"/>
  <c r="BO44" i="1"/>
  <c r="BI44" i="1"/>
  <c r="BJ44" i="1" s="1"/>
  <c r="BH44" i="1"/>
  <c r="AX44" i="1"/>
  <c r="AY44" i="1" s="1"/>
  <c r="AN44" i="1"/>
  <c r="AO44" i="1" s="1"/>
  <c r="AW44" i="1" s="1"/>
  <c r="AM44" i="1"/>
  <c r="AE44" i="1"/>
  <c r="AF44" i="1" s="1"/>
  <c r="AD44" i="1"/>
  <c r="U44" i="1"/>
  <c r="V44" i="1" s="1"/>
  <c r="S44" i="1"/>
  <c r="E44" i="1"/>
  <c r="BS43" i="1"/>
  <c r="BR43" i="1"/>
  <c r="BT43" i="1" s="1"/>
  <c r="BP43" i="1"/>
  <c r="BQ43" i="1" s="1"/>
  <c r="BO43" i="1"/>
  <c r="BI43" i="1"/>
  <c r="BJ43" i="1" s="1"/>
  <c r="BH43" i="1"/>
  <c r="AX43" i="1"/>
  <c r="AY43" i="1" s="1"/>
  <c r="AN43" i="1"/>
  <c r="AO43" i="1" s="1"/>
  <c r="AW43" i="1" s="1"/>
  <c r="AM43" i="1"/>
  <c r="AE43" i="1"/>
  <c r="AF43" i="1" s="1"/>
  <c r="AD43" i="1"/>
  <c r="U43" i="1"/>
  <c r="V43" i="1" s="1"/>
  <c r="S43" i="1"/>
  <c r="E43" i="1"/>
  <c r="BS42" i="1"/>
  <c r="BR42" i="1"/>
  <c r="BT42" i="1" s="1"/>
  <c r="BP42" i="1"/>
  <c r="BQ42" i="1" s="1"/>
  <c r="BO42" i="1"/>
  <c r="BI42" i="1"/>
  <c r="BJ42" i="1" s="1"/>
  <c r="BH42" i="1"/>
  <c r="AX42" i="1"/>
  <c r="AY42" i="1" s="1"/>
  <c r="AN42" i="1"/>
  <c r="AO42" i="1" s="1"/>
  <c r="AW42" i="1" s="1"/>
  <c r="AM42" i="1"/>
  <c r="AE42" i="1"/>
  <c r="AF42" i="1" s="1"/>
  <c r="AD42" i="1"/>
  <c r="U42" i="1"/>
  <c r="V42" i="1" s="1"/>
  <c r="S42" i="1"/>
  <c r="E42" i="1"/>
  <c r="BS41" i="1"/>
  <c r="BR41" i="1"/>
  <c r="BT41" i="1" s="1"/>
  <c r="BP41" i="1"/>
  <c r="BQ41" i="1" s="1"/>
  <c r="BO41" i="1"/>
  <c r="BI41" i="1"/>
  <c r="BJ41" i="1" s="1"/>
  <c r="BH41" i="1"/>
  <c r="AX41" i="1"/>
  <c r="AY41" i="1" s="1"/>
  <c r="AN41" i="1"/>
  <c r="AO41" i="1" s="1"/>
  <c r="AW41" i="1" s="1"/>
  <c r="AM41" i="1"/>
  <c r="AE41" i="1"/>
  <c r="AF41" i="1" s="1"/>
  <c r="AD41" i="1"/>
  <c r="U41" i="1"/>
  <c r="V41" i="1" s="1"/>
  <c r="S41" i="1"/>
  <c r="E41" i="1"/>
  <c r="BS40" i="1"/>
  <c r="BR40" i="1"/>
  <c r="BT40" i="1" s="1"/>
  <c r="BP40" i="1"/>
  <c r="BQ40" i="1" s="1"/>
  <c r="BO40" i="1"/>
  <c r="BI40" i="1"/>
  <c r="BJ40" i="1" s="1"/>
  <c r="BH40" i="1"/>
  <c r="AX40" i="1"/>
  <c r="AY40" i="1" s="1"/>
  <c r="AN40" i="1"/>
  <c r="AO40" i="1" s="1"/>
  <c r="AW40" i="1" s="1"/>
  <c r="AM40" i="1"/>
  <c r="AF40" i="1"/>
  <c r="AE40" i="1"/>
  <c r="AD40" i="1"/>
  <c r="U40" i="1"/>
  <c r="V40" i="1" s="1"/>
  <c r="S40" i="1"/>
  <c r="E40" i="1"/>
  <c r="BS39" i="1"/>
  <c r="BR39" i="1"/>
  <c r="BT39" i="1" s="1"/>
  <c r="BP39" i="1"/>
  <c r="BQ39" i="1" s="1"/>
  <c r="BO39" i="1"/>
  <c r="BI39" i="1"/>
  <c r="BJ39" i="1" s="1"/>
  <c r="BH39" i="1"/>
  <c r="AX39" i="1"/>
  <c r="AY39" i="1" s="1"/>
  <c r="AN39" i="1"/>
  <c r="AO39" i="1" s="1"/>
  <c r="AW39" i="1" s="1"/>
  <c r="AM39" i="1"/>
  <c r="AE39" i="1"/>
  <c r="AF39" i="1" s="1"/>
  <c r="AD39" i="1"/>
  <c r="U39" i="1"/>
  <c r="V39" i="1" s="1"/>
  <c r="S39" i="1"/>
  <c r="E39" i="1"/>
  <c r="BP38" i="1"/>
  <c r="BQ38" i="1" s="1"/>
  <c r="BO38" i="1"/>
  <c r="BI38" i="1"/>
  <c r="BH38" i="1"/>
  <c r="AX38" i="1"/>
  <c r="AW38" i="1"/>
  <c r="AN38" i="1"/>
  <c r="AM38" i="1"/>
  <c r="AE38" i="1"/>
  <c r="AD38" i="1"/>
  <c r="U38" i="1"/>
  <c r="V38" i="1" s="1"/>
  <c r="S38" i="1"/>
  <c r="E38" i="1"/>
  <c r="BP37" i="1"/>
  <c r="BQ37" i="1" s="1"/>
  <c r="BO37" i="1"/>
  <c r="BI37" i="1"/>
  <c r="BH37" i="1"/>
  <c r="AX37" i="1"/>
  <c r="AW37" i="1"/>
  <c r="AN37" i="1"/>
  <c r="AM37" i="1"/>
  <c r="AE37" i="1"/>
  <c r="AD37" i="1"/>
  <c r="V37" i="1"/>
  <c r="U37" i="1"/>
  <c r="S37" i="1"/>
  <c r="E37" i="1"/>
  <c r="BS36" i="1"/>
  <c r="BR36" i="1"/>
  <c r="BT36" i="1" s="1"/>
  <c r="BP36" i="1"/>
  <c r="BQ36" i="1" s="1"/>
  <c r="BO36" i="1"/>
  <c r="BI36" i="1"/>
  <c r="BJ36" i="1" s="1"/>
  <c r="BH36" i="1"/>
  <c r="AX36" i="1"/>
  <c r="AY36" i="1" s="1"/>
  <c r="AN36" i="1"/>
  <c r="AO36" i="1" s="1"/>
  <c r="AW36" i="1" s="1"/>
  <c r="AM36" i="1"/>
  <c r="AE36" i="1"/>
  <c r="AF36" i="1" s="1"/>
  <c r="AD36" i="1"/>
  <c r="U36" i="1"/>
  <c r="V36" i="1" s="1"/>
  <c r="S36" i="1"/>
  <c r="E36" i="1"/>
  <c r="BS35" i="1"/>
  <c r="BR35" i="1"/>
  <c r="BT35" i="1" s="1"/>
  <c r="BP35" i="1"/>
  <c r="BQ35" i="1" s="1"/>
  <c r="BO35" i="1"/>
  <c r="BI35" i="1"/>
  <c r="BJ35" i="1" s="1"/>
  <c r="BH35" i="1"/>
  <c r="AX35" i="1"/>
  <c r="AY35" i="1" s="1"/>
  <c r="AO35" i="1"/>
  <c r="AW35" i="1" s="1"/>
  <c r="AN35" i="1"/>
  <c r="AM35" i="1"/>
  <c r="AE35" i="1"/>
  <c r="AF35" i="1" s="1"/>
  <c r="AD35" i="1"/>
  <c r="U35" i="1"/>
  <c r="V35" i="1" s="1"/>
  <c r="S35" i="1"/>
  <c r="E35" i="1"/>
  <c r="BS34" i="1"/>
  <c r="BR34" i="1"/>
  <c r="BT34" i="1" s="1"/>
  <c r="BP34" i="1"/>
  <c r="BQ34" i="1" s="1"/>
  <c r="BO34" i="1"/>
  <c r="BI34" i="1"/>
  <c r="BJ34" i="1" s="1"/>
  <c r="BH34" i="1"/>
  <c r="AX34" i="1"/>
  <c r="AY34" i="1" s="1"/>
  <c r="AN34" i="1"/>
  <c r="AO34" i="1" s="1"/>
  <c r="AW34" i="1" s="1"/>
  <c r="AM34" i="1"/>
  <c r="AE34" i="1"/>
  <c r="AF34" i="1" s="1"/>
  <c r="AD34" i="1"/>
  <c r="U34" i="1"/>
  <c r="V34" i="1" s="1"/>
  <c r="S34" i="1"/>
  <c r="E34" i="1"/>
  <c r="BS33" i="1"/>
  <c r="BR33" i="1"/>
  <c r="BT33" i="1" s="1"/>
  <c r="BP33" i="1"/>
  <c r="BQ33" i="1" s="1"/>
  <c r="BO33" i="1"/>
  <c r="BI33" i="1"/>
  <c r="BJ33" i="1" s="1"/>
  <c r="BH33" i="1"/>
  <c r="AX33" i="1"/>
  <c r="AY33" i="1" s="1"/>
  <c r="AN33" i="1"/>
  <c r="AO33" i="1" s="1"/>
  <c r="AW33" i="1" s="1"/>
  <c r="AM33" i="1"/>
  <c r="AE33" i="1"/>
  <c r="AF33" i="1" s="1"/>
  <c r="AD33" i="1"/>
  <c r="U33" i="1"/>
  <c r="V33" i="1" s="1"/>
  <c r="S33" i="1"/>
  <c r="E33" i="1"/>
  <c r="BS32" i="1"/>
  <c r="BR32" i="1"/>
  <c r="BT32" i="1" s="1"/>
  <c r="BQ32" i="1"/>
  <c r="BP32" i="1"/>
  <c r="BO32" i="1"/>
  <c r="BI32" i="1"/>
  <c r="BJ32" i="1" s="1"/>
  <c r="BH32" i="1"/>
  <c r="AX32" i="1"/>
  <c r="AY32" i="1" s="1"/>
  <c r="AN32" i="1"/>
  <c r="AO32" i="1" s="1"/>
  <c r="AW32" i="1" s="1"/>
  <c r="AM32" i="1"/>
  <c r="AE32" i="1"/>
  <c r="AF32" i="1" s="1"/>
  <c r="AD32" i="1"/>
  <c r="U32" i="1"/>
  <c r="V32" i="1" s="1"/>
  <c r="S32" i="1"/>
  <c r="E32" i="1"/>
  <c r="BS31" i="1"/>
  <c r="BR31" i="1"/>
  <c r="BT31" i="1" s="1"/>
  <c r="BQ31" i="1"/>
  <c r="BP31" i="1"/>
  <c r="BO31" i="1"/>
  <c r="BI31" i="1"/>
  <c r="BJ31" i="1" s="1"/>
  <c r="BH31" i="1"/>
  <c r="AY31" i="1"/>
  <c r="AX31" i="1"/>
  <c r="AN31" i="1"/>
  <c r="AO31" i="1" s="1"/>
  <c r="AW31" i="1" s="1"/>
  <c r="AM31" i="1"/>
  <c r="AE31" i="1"/>
  <c r="AF31" i="1" s="1"/>
  <c r="AD31" i="1"/>
  <c r="U31" i="1"/>
  <c r="V31" i="1" s="1"/>
  <c r="S31" i="1"/>
  <c r="E31" i="1"/>
  <c r="BS30" i="1"/>
  <c r="BR30" i="1"/>
  <c r="BT30" i="1" s="1"/>
  <c r="BP30" i="1"/>
  <c r="BQ30" i="1" s="1"/>
  <c r="BO30" i="1"/>
  <c r="BJ30" i="1"/>
  <c r="BI30" i="1"/>
  <c r="BH30" i="1"/>
  <c r="AX30" i="1"/>
  <c r="AY30" i="1" s="1"/>
  <c r="AN30" i="1"/>
  <c r="AO30" i="1" s="1"/>
  <c r="AW30" i="1" s="1"/>
  <c r="AM30" i="1"/>
  <c r="AE30" i="1"/>
  <c r="AF30" i="1" s="1"/>
  <c r="AD30" i="1"/>
  <c r="U30" i="1"/>
  <c r="V30" i="1" s="1"/>
  <c r="S30" i="1"/>
  <c r="E30" i="1"/>
  <c r="BS29" i="1"/>
  <c r="BR29" i="1"/>
  <c r="BT29" i="1" s="1"/>
  <c r="BP29" i="1"/>
  <c r="BQ29" i="1" s="1"/>
  <c r="BO29" i="1"/>
  <c r="BI29" i="1"/>
  <c r="BJ29" i="1" s="1"/>
  <c r="BH29" i="1"/>
  <c r="AX29" i="1"/>
  <c r="AY29" i="1" s="1"/>
  <c r="AN29" i="1"/>
  <c r="AO29" i="1" s="1"/>
  <c r="AW29" i="1" s="1"/>
  <c r="AM29" i="1"/>
  <c r="AE29" i="1"/>
  <c r="AF29" i="1" s="1"/>
  <c r="AD29" i="1"/>
  <c r="U29" i="1"/>
  <c r="V29" i="1" s="1"/>
  <c r="S29" i="1"/>
  <c r="E29" i="1"/>
  <c r="BS28" i="1"/>
  <c r="BR28" i="1"/>
  <c r="BT28" i="1" s="1"/>
  <c r="BP28" i="1"/>
  <c r="BQ28" i="1" s="1"/>
  <c r="BO28" i="1"/>
  <c r="BI28" i="1"/>
  <c r="BJ28" i="1" s="1"/>
  <c r="BH28" i="1"/>
  <c r="AX28" i="1"/>
  <c r="AY28" i="1" s="1"/>
  <c r="AN28" i="1"/>
  <c r="AO28" i="1" s="1"/>
  <c r="AW28" i="1" s="1"/>
  <c r="AM28" i="1"/>
  <c r="AE28" i="1"/>
  <c r="AF28" i="1" s="1"/>
  <c r="AD28" i="1"/>
  <c r="U28" i="1"/>
  <c r="V28" i="1" s="1"/>
  <c r="S28" i="1"/>
  <c r="E28" i="1"/>
  <c r="BS27" i="1"/>
  <c r="BR27" i="1"/>
  <c r="BT27" i="1" s="1"/>
  <c r="BQ27" i="1"/>
  <c r="BP27" i="1"/>
  <c r="BO27" i="1"/>
  <c r="BI27" i="1"/>
  <c r="BJ27" i="1" s="1"/>
  <c r="BH27" i="1"/>
  <c r="AX27" i="1"/>
  <c r="AY27" i="1" s="1"/>
  <c r="AN27" i="1"/>
  <c r="AO27" i="1" s="1"/>
  <c r="AW27" i="1" s="1"/>
  <c r="AM27" i="1"/>
  <c r="AE27" i="1"/>
  <c r="AF27" i="1" s="1"/>
  <c r="AD27" i="1"/>
  <c r="U27" i="1"/>
  <c r="V27" i="1" s="1"/>
  <c r="S27" i="1"/>
  <c r="E27" i="1"/>
  <c r="BS26" i="1"/>
  <c r="BR26" i="1"/>
  <c r="BT26" i="1" s="1"/>
  <c r="BP26" i="1"/>
  <c r="BQ26" i="1" s="1"/>
  <c r="BO26" i="1"/>
  <c r="BI26" i="1"/>
  <c r="BJ26" i="1" s="1"/>
  <c r="BH26" i="1"/>
  <c r="AX26" i="1"/>
  <c r="AY26" i="1" s="1"/>
  <c r="AN26" i="1"/>
  <c r="AO26" i="1" s="1"/>
  <c r="AW26" i="1" s="1"/>
  <c r="AM26" i="1"/>
  <c r="AE26" i="1"/>
  <c r="AF26" i="1" s="1"/>
  <c r="AD26" i="1"/>
  <c r="U26" i="1"/>
  <c r="V26" i="1" s="1"/>
  <c r="S26" i="1"/>
  <c r="E26" i="1"/>
  <c r="BS25" i="1"/>
  <c r="BR25" i="1"/>
  <c r="BT25" i="1" s="1"/>
  <c r="BP25" i="1"/>
  <c r="BQ25" i="1" s="1"/>
  <c r="BO25" i="1"/>
  <c r="BI25" i="1"/>
  <c r="BJ25" i="1" s="1"/>
  <c r="BH25" i="1"/>
  <c r="AX25" i="1"/>
  <c r="AY25" i="1" s="1"/>
  <c r="AN25" i="1"/>
  <c r="AO25" i="1" s="1"/>
  <c r="AW25" i="1" s="1"/>
  <c r="AM25" i="1"/>
  <c r="AE25" i="1"/>
  <c r="AF25" i="1" s="1"/>
  <c r="AD25" i="1"/>
  <c r="U25" i="1"/>
  <c r="V25" i="1" s="1"/>
  <c r="S25" i="1"/>
  <c r="E25" i="1"/>
  <c r="BS24" i="1"/>
  <c r="BR24" i="1"/>
  <c r="BT24" i="1" s="1"/>
  <c r="BP24" i="1"/>
  <c r="BQ24" i="1" s="1"/>
  <c r="BO24" i="1"/>
  <c r="BI24" i="1"/>
  <c r="BJ24" i="1" s="1"/>
  <c r="BH24" i="1"/>
  <c r="AX24" i="1"/>
  <c r="AY24" i="1" s="1"/>
  <c r="AN24" i="1"/>
  <c r="AO24" i="1" s="1"/>
  <c r="AW24" i="1" s="1"/>
  <c r="AM24" i="1"/>
  <c r="AE24" i="1"/>
  <c r="AF24" i="1" s="1"/>
  <c r="AD24" i="1"/>
  <c r="V24" i="1"/>
  <c r="U24" i="1"/>
  <c r="S24" i="1"/>
  <c r="E24" i="1"/>
  <c r="BS23" i="1"/>
  <c r="BR23" i="1"/>
  <c r="BT23" i="1" s="1"/>
  <c r="BP23" i="1"/>
  <c r="BQ23" i="1" s="1"/>
  <c r="BO23" i="1"/>
  <c r="BI23" i="1"/>
  <c r="BJ23" i="1" s="1"/>
  <c r="BH23" i="1"/>
  <c r="AX23" i="1"/>
  <c r="AY23" i="1" s="1"/>
  <c r="AN23" i="1"/>
  <c r="AO23" i="1" s="1"/>
  <c r="AW23" i="1" s="1"/>
  <c r="AM23" i="1"/>
  <c r="AE23" i="1"/>
  <c r="AF23" i="1" s="1"/>
  <c r="AD23" i="1"/>
  <c r="U23" i="1"/>
  <c r="V23" i="1" s="1"/>
  <c r="S23" i="1"/>
  <c r="E23" i="1"/>
  <c r="BS22" i="1"/>
  <c r="BR22" i="1"/>
  <c r="BT22" i="1" s="1"/>
  <c r="BP22" i="1"/>
  <c r="BQ22" i="1" s="1"/>
  <c r="BO22" i="1"/>
  <c r="BI22" i="1"/>
  <c r="BJ22" i="1" s="1"/>
  <c r="BH22" i="1"/>
  <c r="AX22" i="1"/>
  <c r="AY22" i="1" s="1"/>
  <c r="AN22" i="1"/>
  <c r="AO22" i="1" s="1"/>
  <c r="AW22" i="1" s="1"/>
  <c r="AM22" i="1"/>
  <c r="AE22" i="1"/>
  <c r="AF22" i="1" s="1"/>
  <c r="AD22" i="1"/>
  <c r="U22" i="1"/>
  <c r="V22" i="1" s="1"/>
  <c r="S22" i="1"/>
  <c r="E22" i="1"/>
  <c r="BS21" i="1"/>
  <c r="BR21" i="1"/>
  <c r="BT21" i="1" s="1"/>
  <c r="BP21" i="1"/>
  <c r="BQ21" i="1" s="1"/>
  <c r="BO21" i="1"/>
  <c r="BI21" i="1"/>
  <c r="BJ21" i="1" s="1"/>
  <c r="BH21" i="1"/>
  <c r="AX21" i="1"/>
  <c r="AY21" i="1" s="1"/>
  <c r="AN21" i="1"/>
  <c r="AO21" i="1" s="1"/>
  <c r="AW21" i="1" s="1"/>
  <c r="AM21" i="1"/>
  <c r="AE21" i="1"/>
  <c r="AF21" i="1" s="1"/>
  <c r="AD21" i="1"/>
  <c r="U21" i="1"/>
  <c r="V21" i="1" s="1"/>
  <c r="S21" i="1"/>
  <c r="E21" i="1"/>
  <c r="BS20" i="1"/>
  <c r="BR20" i="1"/>
  <c r="BT20" i="1" s="1"/>
  <c r="BP20" i="1"/>
  <c r="BQ20" i="1" s="1"/>
  <c r="BO20" i="1"/>
  <c r="BI20" i="1"/>
  <c r="BJ20" i="1" s="1"/>
  <c r="BH20" i="1"/>
  <c r="AX20" i="1"/>
  <c r="AY20" i="1" s="1"/>
  <c r="AN20" i="1"/>
  <c r="AO20" i="1" s="1"/>
  <c r="AW20" i="1" s="1"/>
  <c r="AM20" i="1"/>
  <c r="AE20" i="1"/>
  <c r="AF20" i="1" s="1"/>
  <c r="AD20" i="1"/>
  <c r="U20" i="1"/>
  <c r="V20" i="1" s="1"/>
  <c r="S20" i="1"/>
  <c r="E20" i="1"/>
  <c r="BS19" i="1"/>
  <c r="BR19" i="1"/>
  <c r="BT19" i="1" s="1"/>
  <c r="BP19" i="1"/>
  <c r="BQ19" i="1" s="1"/>
  <c r="BO19" i="1"/>
  <c r="BI19" i="1"/>
  <c r="BJ19" i="1" s="1"/>
  <c r="BH19" i="1"/>
  <c r="AX19" i="1"/>
  <c r="AY19" i="1" s="1"/>
  <c r="AN19" i="1"/>
  <c r="AO19" i="1" s="1"/>
  <c r="AW19" i="1" s="1"/>
  <c r="AM19" i="1"/>
  <c r="AE19" i="1"/>
  <c r="AF19" i="1" s="1"/>
  <c r="AD19" i="1"/>
  <c r="U19" i="1"/>
  <c r="V19" i="1" s="1"/>
  <c r="S19" i="1"/>
  <c r="E19" i="1"/>
  <c r="BS18" i="1"/>
  <c r="BR18" i="1"/>
  <c r="BT18" i="1" s="1"/>
  <c r="BP18" i="1"/>
  <c r="BQ18" i="1" s="1"/>
  <c r="BO18" i="1"/>
  <c r="BI18" i="1"/>
  <c r="BJ18" i="1" s="1"/>
  <c r="BH18" i="1"/>
  <c r="AX18" i="1"/>
  <c r="AY18" i="1" s="1"/>
  <c r="AN18" i="1"/>
  <c r="AO18" i="1" s="1"/>
  <c r="AW18" i="1" s="1"/>
  <c r="AM18" i="1"/>
  <c r="AE18" i="1"/>
  <c r="AF18" i="1" s="1"/>
  <c r="AD18" i="1"/>
  <c r="U18" i="1"/>
  <c r="V18" i="1" s="1"/>
  <c r="S18" i="1"/>
  <c r="E18" i="1"/>
  <c r="BS17" i="1"/>
  <c r="BR17" i="1"/>
  <c r="BT17" i="1" s="1"/>
  <c r="BP17" i="1"/>
  <c r="BQ17" i="1" s="1"/>
  <c r="BO17" i="1"/>
  <c r="BI17" i="1"/>
  <c r="BJ17" i="1" s="1"/>
  <c r="BH17" i="1"/>
  <c r="AX17" i="1"/>
  <c r="AY17" i="1" s="1"/>
  <c r="AN17" i="1"/>
  <c r="AO17" i="1" s="1"/>
  <c r="AW17" i="1" s="1"/>
  <c r="AM17" i="1"/>
  <c r="AE17" i="1"/>
  <c r="AF17" i="1" s="1"/>
  <c r="AD17" i="1"/>
  <c r="U17" i="1"/>
  <c r="V17" i="1" s="1"/>
  <c r="S17" i="1"/>
  <c r="E17" i="1"/>
  <c r="BS16" i="1"/>
  <c r="BR16" i="1"/>
  <c r="BT16" i="1" s="1"/>
  <c r="BP16" i="1"/>
  <c r="BQ16" i="1" s="1"/>
  <c r="BO16" i="1"/>
  <c r="BJ16" i="1"/>
  <c r="BI16" i="1"/>
  <c r="BH16" i="1"/>
  <c r="AX16" i="1"/>
  <c r="AY16" i="1" s="1"/>
  <c r="AN16" i="1"/>
  <c r="AO16" i="1" s="1"/>
  <c r="AW16" i="1" s="1"/>
  <c r="AM16" i="1"/>
  <c r="AE16" i="1"/>
  <c r="AF16" i="1" s="1"/>
  <c r="AD16" i="1"/>
  <c r="U16" i="1"/>
  <c r="V16" i="1" s="1"/>
  <c r="S16" i="1"/>
  <c r="E16" i="1"/>
  <c r="BS15" i="1"/>
  <c r="BR15" i="1"/>
  <c r="BT15" i="1" s="1"/>
  <c r="BP15" i="1"/>
  <c r="BQ15" i="1" s="1"/>
  <c r="BO15" i="1"/>
  <c r="BI15" i="1"/>
  <c r="BJ15" i="1" s="1"/>
  <c r="BH15" i="1"/>
  <c r="AX15" i="1"/>
  <c r="AY15" i="1" s="1"/>
  <c r="AN15" i="1"/>
  <c r="AO15" i="1" s="1"/>
  <c r="AW15" i="1" s="1"/>
  <c r="AM15" i="1"/>
  <c r="AE15" i="1"/>
  <c r="AF15" i="1" s="1"/>
  <c r="AD15" i="1"/>
  <c r="U15" i="1"/>
  <c r="V15" i="1" s="1"/>
  <c r="S15" i="1"/>
  <c r="E15" i="1"/>
  <c r="BS14" i="1"/>
  <c r="BR14" i="1"/>
  <c r="BT14" i="1" s="1"/>
  <c r="BP14" i="1"/>
  <c r="BQ14" i="1" s="1"/>
  <c r="BO14" i="1"/>
  <c r="BI14" i="1"/>
  <c r="BJ14" i="1" s="1"/>
  <c r="BH14" i="1"/>
  <c r="AX14" i="1"/>
  <c r="AY14" i="1" s="1"/>
  <c r="AN14" i="1"/>
  <c r="AO14" i="1" s="1"/>
  <c r="AW14" i="1" s="1"/>
  <c r="AM14" i="1"/>
  <c r="AE14" i="1"/>
  <c r="AF14" i="1" s="1"/>
  <c r="AD14" i="1"/>
  <c r="U14" i="1"/>
  <c r="V14" i="1" s="1"/>
  <c r="S14" i="1"/>
  <c r="E14" i="1"/>
  <c r="BS13" i="1"/>
  <c r="BR13" i="1"/>
  <c r="BT13" i="1" s="1"/>
  <c r="BP13" i="1"/>
  <c r="BQ13" i="1" s="1"/>
  <c r="BO13" i="1"/>
  <c r="BI13" i="1"/>
  <c r="BJ13" i="1" s="1"/>
  <c r="BH13" i="1"/>
  <c r="AX13" i="1"/>
  <c r="AY13" i="1" s="1"/>
  <c r="AN13" i="1"/>
  <c r="AO13" i="1" s="1"/>
  <c r="AW13" i="1" s="1"/>
  <c r="AM13" i="1"/>
  <c r="AE13" i="1"/>
  <c r="AF13" i="1" s="1"/>
  <c r="AD13" i="1"/>
  <c r="U13" i="1"/>
  <c r="V13" i="1" s="1"/>
  <c r="S13" i="1"/>
  <c r="E13" i="1"/>
  <c r="BS12" i="1"/>
  <c r="BR12" i="1"/>
  <c r="BT12" i="1" s="1"/>
  <c r="BP12" i="1"/>
  <c r="BQ12" i="1" s="1"/>
  <c r="BO12" i="1"/>
  <c r="BI12" i="1"/>
  <c r="BJ12" i="1" s="1"/>
  <c r="BH12" i="1"/>
  <c r="AX12" i="1"/>
  <c r="AY12" i="1" s="1"/>
  <c r="AN12" i="1"/>
  <c r="AO12" i="1" s="1"/>
  <c r="AW12" i="1" s="1"/>
  <c r="AM12" i="1"/>
  <c r="AE12" i="1"/>
  <c r="AF12" i="1" s="1"/>
  <c r="AD12" i="1"/>
  <c r="U12" i="1"/>
  <c r="V12" i="1" s="1"/>
  <c r="S12" i="1"/>
  <c r="E12" i="1"/>
  <c r="BS11" i="1"/>
  <c r="BR11" i="1"/>
  <c r="BT11" i="1" s="1"/>
  <c r="BP11" i="1"/>
  <c r="BQ11" i="1" s="1"/>
  <c r="BO11" i="1"/>
  <c r="BI11" i="1"/>
  <c r="BJ11" i="1" s="1"/>
  <c r="BH11" i="1"/>
  <c r="AX11" i="1"/>
  <c r="AY11" i="1" s="1"/>
  <c r="AN11" i="1"/>
  <c r="AO11" i="1" s="1"/>
  <c r="AW11" i="1" s="1"/>
  <c r="AM11" i="1"/>
  <c r="AF11" i="1"/>
  <c r="AE11" i="1"/>
  <c r="AD11" i="1"/>
  <c r="U11" i="1"/>
  <c r="V11" i="1" s="1"/>
  <c r="S11" i="1"/>
  <c r="E11" i="1"/>
  <c r="BS10" i="1"/>
  <c r="BR10" i="1"/>
  <c r="BT10" i="1" s="1"/>
  <c r="BP10" i="1"/>
  <c r="BQ10" i="1" s="1"/>
  <c r="BO10" i="1"/>
  <c r="BJ10" i="1"/>
  <c r="BI10" i="1"/>
  <c r="BH10" i="1"/>
  <c r="AX10" i="1"/>
  <c r="AY10" i="1" s="1"/>
  <c r="AN10" i="1"/>
  <c r="AO10" i="1" s="1"/>
  <c r="AW10" i="1" s="1"/>
  <c r="AM10" i="1"/>
  <c r="AE10" i="1"/>
  <c r="AF10" i="1" s="1"/>
  <c r="AD10" i="1"/>
  <c r="U10" i="1"/>
  <c r="V10" i="1" s="1"/>
  <c r="S10" i="1"/>
  <c r="E10" i="1"/>
  <c r="BS9" i="1"/>
  <c r="BR9" i="1"/>
  <c r="BT9" i="1" s="1"/>
  <c r="BP9" i="1"/>
  <c r="BQ9" i="1" s="1"/>
  <c r="BO9" i="1"/>
  <c r="BI9" i="1"/>
  <c r="BJ9" i="1" s="1"/>
  <c r="BH9" i="1"/>
  <c r="AX9" i="1"/>
  <c r="AY9" i="1" s="1"/>
  <c r="AN9" i="1"/>
  <c r="AO9" i="1" s="1"/>
  <c r="AW9" i="1" s="1"/>
  <c r="AM9" i="1"/>
  <c r="AE9" i="1"/>
  <c r="AF9" i="1" s="1"/>
  <c r="AD9" i="1"/>
  <c r="U9" i="1"/>
  <c r="V9" i="1" s="1"/>
  <c r="S9" i="1"/>
  <c r="E9" i="1"/>
  <c r="BS8" i="1"/>
  <c r="BR8" i="1"/>
  <c r="BT8" i="1" s="1"/>
  <c r="BP8" i="1"/>
  <c r="BQ8" i="1" s="1"/>
  <c r="BO8" i="1"/>
  <c r="BI8" i="1"/>
  <c r="BJ8" i="1" s="1"/>
  <c r="BH8" i="1"/>
  <c r="AX8" i="1"/>
  <c r="AY8" i="1" s="1"/>
  <c r="AN8" i="1"/>
  <c r="AO8" i="1" s="1"/>
  <c r="AW8" i="1" s="1"/>
  <c r="AM8" i="1"/>
  <c r="AE8" i="1"/>
  <c r="AF8" i="1" s="1"/>
  <c r="AD8" i="1"/>
  <c r="U8" i="1"/>
  <c r="V8" i="1" s="1"/>
  <c r="S8" i="1"/>
  <c r="E8" i="1"/>
  <c r="BS7" i="1"/>
  <c r="BR7" i="1"/>
  <c r="BT7" i="1" s="1"/>
  <c r="BP7" i="1"/>
  <c r="BQ7" i="1" s="1"/>
  <c r="BO7" i="1"/>
  <c r="BI7" i="1"/>
  <c r="BJ7" i="1" s="1"/>
  <c r="BH7" i="1"/>
  <c r="AX7" i="1"/>
  <c r="AY7" i="1" s="1"/>
  <c r="AN7" i="1"/>
  <c r="AO7" i="1" s="1"/>
  <c r="AW7" i="1" s="1"/>
  <c r="AM7" i="1"/>
  <c r="AE7" i="1"/>
  <c r="AF7" i="1" s="1"/>
  <c r="AD7" i="1"/>
  <c r="U7" i="1"/>
  <c r="V7" i="1" s="1"/>
  <c r="S7" i="1"/>
  <c r="E7" i="1"/>
  <c r="BP6" i="1"/>
  <c r="BQ6" i="1" s="1"/>
  <c r="BO6" i="1"/>
  <c r="BI6" i="1"/>
  <c r="BH6" i="1"/>
  <c r="AX6" i="1"/>
  <c r="AW6" i="1"/>
  <c r="AN6" i="1"/>
  <c r="AM6" i="1"/>
  <c r="AE6" i="1"/>
  <c r="AD6" i="1"/>
  <c r="U6" i="1"/>
  <c r="V6" i="1" s="1"/>
  <c r="S6" i="1"/>
  <c r="E6" i="1"/>
  <c r="BS5" i="1"/>
  <c r="BR5" i="1"/>
  <c r="BT5" i="1" s="1"/>
  <c r="BP5" i="1"/>
  <c r="BQ5" i="1" s="1"/>
  <c r="BO5" i="1"/>
  <c r="BI5" i="1"/>
  <c r="BJ5" i="1" s="1"/>
  <c r="BH5" i="1"/>
  <c r="AX5" i="1"/>
  <c r="AY5" i="1" s="1"/>
  <c r="AN5" i="1"/>
  <c r="AO5" i="1" s="1"/>
  <c r="AW5" i="1" s="1"/>
  <c r="AM5" i="1"/>
  <c r="AE5" i="1"/>
  <c r="AF5" i="1" s="1"/>
  <c r="AD5" i="1"/>
  <c r="U5" i="1"/>
  <c r="V5" i="1" s="1"/>
  <c r="S5" i="1"/>
  <c r="E5" i="1"/>
  <c r="BS4" i="1"/>
  <c r="BR4" i="1"/>
  <c r="BT4" i="1" s="1"/>
  <c r="BP4" i="1"/>
  <c r="BQ4" i="1" s="1"/>
  <c r="BO4" i="1"/>
  <c r="BI4" i="1"/>
  <c r="BJ4" i="1" s="1"/>
  <c r="BH4" i="1"/>
  <c r="AX4" i="1"/>
  <c r="AY4" i="1" s="1"/>
  <c r="AN4" i="1"/>
  <c r="AO4" i="1" s="1"/>
  <c r="AW4" i="1" s="1"/>
  <c r="AM4" i="1"/>
  <c r="AE4" i="1"/>
  <c r="AF4" i="1" s="1"/>
  <c r="AD4" i="1"/>
  <c r="U4" i="1"/>
  <c r="V4" i="1" s="1"/>
  <c r="S4" i="1"/>
  <c r="E4" i="1"/>
  <c r="BS3" i="1"/>
  <c r="BR3" i="1"/>
  <c r="BT3" i="1" s="1"/>
  <c r="BQ3" i="1"/>
  <c r="BP3" i="1"/>
  <c r="BO3" i="1"/>
  <c r="BI3" i="1"/>
  <c r="BJ3" i="1" s="1"/>
  <c r="BH3" i="1"/>
  <c r="AX3" i="1"/>
  <c r="AY3" i="1" s="1"/>
  <c r="AN3" i="1"/>
  <c r="AO3" i="1" s="1"/>
  <c r="AW3" i="1" s="1"/>
  <c r="AM3" i="1"/>
  <c r="AE3" i="1"/>
  <c r="AF3" i="1" s="1"/>
  <c r="AD3" i="1"/>
  <c r="V3" i="1"/>
  <c r="U3" i="1"/>
  <c r="S3" i="1"/>
  <c r="E3" i="1"/>
  <c r="BP2" i="1"/>
  <c r="BQ2" i="1" s="1"/>
  <c r="BO2" i="1"/>
  <c r="BI2" i="1"/>
  <c r="BH2" i="1"/>
  <c r="AX2" i="1"/>
  <c r="AW2" i="1"/>
  <c r="AN2" i="1"/>
  <c r="AM2" i="1"/>
  <c r="AE2" i="1"/>
  <c r="AD2" i="1"/>
  <c r="U2" i="1"/>
  <c r="V2" i="1" s="1"/>
  <c r="S2" i="1"/>
  <c r="E2" i="1"/>
</calcChain>
</file>

<file path=xl/sharedStrings.xml><?xml version="1.0" encoding="utf-8"?>
<sst xmlns="http://schemas.openxmlformats.org/spreadsheetml/2006/main" count="5420" uniqueCount="290">
  <si>
    <t>Geopark</t>
  </si>
  <si>
    <t>Latitude</t>
  </si>
  <si>
    <t>Longitude</t>
  </si>
  <si>
    <t>Size</t>
  </si>
  <si>
    <t>Size_Category</t>
  </si>
  <si>
    <t>Network</t>
  </si>
  <si>
    <t>Country</t>
  </si>
  <si>
    <t>Year of Designation</t>
  </si>
  <si>
    <t>Era</t>
  </si>
  <si>
    <t xml:space="preserve">Position </t>
  </si>
  <si>
    <t>Other</t>
  </si>
  <si>
    <t>Usage</t>
  </si>
  <si>
    <t>Drones</t>
  </si>
  <si>
    <t>VR</t>
  </si>
  <si>
    <t>AR</t>
  </si>
  <si>
    <t>Mobile App</t>
  </si>
  <si>
    <t>Web App</t>
  </si>
  <si>
    <t>Field Collection App</t>
  </si>
  <si>
    <t>Digital_Tools_Count</t>
  </si>
  <si>
    <t>None</t>
  </si>
  <si>
    <t>Common Digital Tool Usage (%)</t>
  </si>
  <si>
    <t>Common_Tools</t>
  </si>
  <si>
    <t>Other_tools</t>
  </si>
  <si>
    <t>Geosite List</t>
  </si>
  <si>
    <t>Geodiversity Maps</t>
  </si>
  <si>
    <t>Public Interpretation</t>
  </si>
  <si>
    <t>Inventory</t>
  </si>
  <si>
    <t>Protection</t>
  </si>
  <si>
    <t>Maintenance</t>
  </si>
  <si>
    <t>Geology_Landscape_Count</t>
  </si>
  <si>
    <t>Geology_Landscape_Prop</t>
  </si>
  <si>
    <t>Geology_Landscape</t>
  </si>
  <si>
    <t>Boundary</t>
  </si>
  <si>
    <t>Management Plan</t>
  </si>
  <si>
    <t>Marketing Strategy</t>
  </si>
  <si>
    <t>Sustainable Geotourism</t>
  </si>
  <si>
    <t>Promotion</t>
  </si>
  <si>
    <t>Geopark Infrastructure</t>
  </si>
  <si>
    <t>Management_Structure_Count</t>
  </si>
  <si>
    <t>Management_ Structure_Prop</t>
  </si>
  <si>
    <t>Management_Structure</t>
  </si>
  <si>
    <t>Scientific Research</t>
  </si>
  <si>
    <t>Environmental Education</t>
  </si>
  <si>
    <t>Education</t>
  </si>
  <si>
    <t>Published Information</t>
  </si>
  <si>
    <t>School Provisions</t>
  </si>
  <si>
    <t>Training Courses</t>
  </si>
  <si>
    <t>Information Educational</t>
  </si>
  <si>
    <t>Interpretation_Education_Count</t>
  </si>
  <si>
    <t>Interpretation_Education_Prop</t>
  </si>
  <si>
    <t>Interpretation_Education</t>
  </si>
  <si>
    <t>Promotional Material</t>
  </si>
  <si>
    <t>Multilingual Marketing</t>
  </si>
  <si>
    <t>Exhibitions</t>
  </si>
  <si>
    <t>Information Centres</t>
  </si>
  <si>
    <t>Websites and Newsletters</t>
  </si>
  <si>
    <t>Guided Tours</t>
  </si>
  <si>
    <t>Interpretative Panels</t>
  </si>
  <si>
    <t>Visitor Evaluation</t>
  </si>
  <si>
    <t>Geotourism_Count</t>
  </si>
  <si>
    <t>Geotourism _Prop</t>
  </si>
  <si>
    <t>Geotourism</t>
  </si>
  <si>
    <t>Promotion Materials</t>
  </si>
  <si>
    <t>Geotourism Products</t>
  </si>
  <si>
    <t>Geopark Linkages</t>
  </si>
  <si>
    <t>Networking</t>
  </si>
  <si>
    <t>Sustainable_Economy_Count</t>
  </si>
  <si>
    <t>Sustainable Economy_Prop</t>
  </si>
  <si>
    <t>Sustainable_Economy</t>
  </si>
  <si>
    <t>Adoption_Prop</t>
  </si>
  <si>
    <t>Adoption_Count</t>
  </si>
  <si>
    <t>Adoption_Rate</t>
  </si>
  <si>
    <t>Gender</t>
  </si>
  <si>
    <t>Years of Employment</t>
  </si>
  <si>
    <t>Year of Last Revalidation</t>
  </si>
  <si>
    <t>Years Since Initial Evaluation or Revalidation</t>
  </si>
  <si>
    <t>Expenditure</t>
  </si>
  <si>
    <t>Allocated Budget</t>
  </si>
  <si>
    <t>Copper Coast</t>
  </si>
  <si>
    <t>EGN</t>
  </si>
  <si>
    <t>Ireland</t>
  </si>
  <si>
    <t>2004 - 2010</t>
  </si>
  <si>
    <t>Geopark manager</t>
  </si>
  <si>
    <t>Daily</t>
  </si>
  <si>
    <t>Yes</t>
  </si>
  <si>
    <t>No</t>
  </si>
  <si>
    <t>Unknown</t>
  </si>
  <si>
    <t>Unspecified</t>
  </si>
  <si>
    <t>0-2</t>
  </si>
  <si>
    <t>Basque Coast</t>
  </si>
  <si>
    <t>Spain</t>
  </si>
  <si>
    <t>Geoscientist</t>
  </si>
  <si>
    <t>Male</t>
  </si>
  <si>
    <t>11+</t>
  </si>
  <si>
    <t>Specified</t>
  </si>
  <si>
    <t>Jiuhuashan</t>
  </si>
  <si>
    <t>APGN</t>
  </si>
  <si>
    <t>China</t>
  </si>
  <si>
    <t>2015 - 2023</t>
  </si>
  <si>
    <t>6-10</t>
  </si>
  <si>
    <t>&gt;4</t>
  </si>
  <si>
    <t>I Don't Know</t>
  </si>
  <si>
    <t>Hong Kong</t>
  </si>
  <si>
    <t>2011 - 2014</t>
  </si>
  <si>
    <t>Weekly</t>
  </si>
  <si>
    <t>Female</t>
  </si>
  <si>
    <t>Marble Arch Caves</t>
  </si>
  <si>
    <t>Ireland, UK, North Ireland</t>
  </si>
  <si>
    <t>Digital Data Loggers (People Counters)</t>
  </si>
  <si>
    <t>3-4</t>
  </si>
  <si>
    <t>Sanqingshan</t>
  </si>
  <si>
    <t>Mëllerdall</t>
  </si>
  <si>
    <t>Luxembourg</t>
  </si>
  <si>
    <t>Senior personnel</t>
  </si>
  <si>
    <t>3-5</t>
  </si>
  <si>
    <t>Initial 0-2</t>
  </si>
  <si>
    <t>Danxiashan</t>
  </si>
  <si>
    <t>Idrija</t>
  </si>
  <si>
    <t>Slovenia</t>
  </si>
  <si>
    <t>Yandangshan</t>
  </si>
  <si>
    <t>Sierras Subbéticas</t>
  </si>
  <si>
    <t>Monthly</t>
  </si>
  <si>
    <t>Shilin</t>
  </si>
  <si>
    <t>Odsherred</t>
  </si>
  <si>
    <t>Denmark</t>
  </si>
  <si>
    <t>Zhangjiajie</t>
  </si>
  <si>
    <t>Staff member</t>
  </si>
  <si>
    <t>Tianzhushan</t>
  </si>
  <si>
    <t>Less than Monthly</t>
  </si>
  <si>
    <t>Mixteca Alta</t>
  </si>
  <si>
    <t>GeoLAC</t>
  </si>
  <si>
    <t>Mexico</t>
  </si>
  <si>
    <t>Coordinator of the Scientific Committee</t>
  </si>
  <si>
    <t>Lushan</t>
  </si>
  <si>
    <t>Sitia</t>
  </si>
  <si>
    <t>Greece</t>
  </si>
  <si>
    <t>Burren and Cliffs of Moher</t>
  </si>
  <si>
    <t>Percé</t>
  </si>
  <si>
    <t>CGN</t>
  </si>
  <si>
    <t>Canada</t>
  </si>
  <si>
    <t>Muskauer Faltenbogen / Łuk Mużakowa</t>
  </si>
  <si>
    <t>Poland and Germany</t>
  </si>
  <si>
    <t>Alxa Desert</t>
  </si>
  <si>
    <t>Terras de Cavaleiros</t>
  </si>
  <si>
    <t>Portugal</t>
  </si>
  <si>
    <t>Wudalianchi</t>
  </si>
  <si>
    <t>Bohemian Paradise</t>
  </si>
  <si>
    <t>Czechia</t>
  </si>
  <si>
    <t>Itoigawa</t>
  </si>
  <si>
    <t>Japan</t>
  </si>
  <si>
    <t>Hakusan Tedorigawa</t>
  </si>
  <si>
    <t>Google Analytics, SNS Advertising, Digital Advertising, Website, Online Meeting Platforms</t>
  </si>
  <si>
    <t>Fforest Fawr</t>
  </si>
  <si>
    <t>UK</t>
  </si>
  <si>
    <t>Development officer</t>
  </si>
  <si>
    <t>Kefalonia-Ithaca</t>
  </si>
  <si>
    <t>Reykjanes</t>
  </si>
  <si>
    <t>Iceland</t>
  </si>
  <si>
    <t>Río Coco</t>
  </si>
  <si>
    <t>Nicaragua</t>
  </si>
  <si>
    <t>De Hondsrug</t>
  </si>
  <si>
    <t>Netherlands</t>
  </si>
  <si>
    <t>Shennongjia</t>
  </si>
  <si>
    <t>Deputy Director of Geopark Management Office</t>
  </si>
  <si>
    <t>Hateg</t>
  </si>
  <si>
    <t>Romania</t>
  </si>
  <si>
    <t>Fangshan</t>
  </si>
  <si>
    <t>Mudeungsan</t>
  </si>
  <si>
    <t>Republic of Korea</t>
  </si>
  <si>
    <t>Karawanken / Karavanke</t>
  </si>
  <si>
    <t>Slovenia and Austria</t>
  </si>
  <si>
    <t>Troodos</t>
  </si>
  <si>
    <t>Cyrpus</t>
  </si>
  <si>
    <t>Discovery</t>
  </si>
  <si>
    <t>Psiloritis</t>
  </si>
  <si>
    <t>Hantangang</t>
  </si>
  <si>
    <t>Toya-Usu</t>
  </si>
  <si>
    <t>Aso</t>
  </si>
  <si>
    <t>Vulkaneifel</t>
  </si>
  <si>
    <t>Germany</t>
  </si>
  <si>
    <t>Ciletuh-Palabuhanratu</t>
  </si>
  <si>
    <t>Indonesia</t>
  </si>
  <si>
    <t>General Affairs</t>
  </si>
  <si>
    <t>Zhangye</t>
  </si>
  <si>
    <t>Rocca di Cerere</t>
  </si>
  <si>
    <t>Italy</t>
  </si>
  <si>
    <t>Central Catalonia</t>
  </si>
  <si>
    <t>Rokua</t>
  </si>
  <si>
    <t>Finland</t>
  </si>
  <si>
    <t>Web shop</t>
  </si>
  <si>
    <t>Funiushan</t>
  </si>
  <si>
    <t>Beaujolais</t>
  </si>
  <si>
    <t>France</t>
  </si>
  <si>
    <t>Digital maps</t>
  </si>
  <si>
    <t>TERRA.vita</t>
  </si>
  <si>
    <t>Ries</t>
  </si>
  <si>
    <t>Marketing</t>
  </si>
  <si>
    <t>Sierra Norte de Sevilla</t>
  </si>
  <si>
    <t>Yimengshan</t>
  </si>
  <si>
    <t>I'm not sure what digital tools are</t>
  </si>
  <si>
    <t>Jeju Island</t>
  </si>
  <si>
    <t>Comarca Minera</t>
  </si>
  <si>
    <t>Communication coordinator</t>
  </si>
  <si>
    <t>Causses du Quercy</t>
  </si>
  <si>
    <t>Pollino</t>
  </si>
  <si>
    <t>North Pennines AONB</t>
  </si>
  <si>
    <t>Public engagement</t>
  </si>
  <si>
    <t>Luberon</t>
  </si>
  <si>
    <t>Sesia Val Grande</t>
  </si>
  <si>
    <t>Orígens</t>
  </si>
  <si>
    <t>Dunhuang</t>
  </si>
  <si>
    <t xml:space="preserve">North West Highlands </t>
  </si>
  <si>
    <t>Conferencing and Gsuite collaborative tools</t>
  </si>
  <si>
    <t>Estrela</t>
  </si>
  <si>
    <t>Monts d'Ardèche</t>
  </si>
  <si>
    <t>Kula - Salihli</t>
  </si>
  <si>
    <t>Turkey</t>
  </si>
  <si>
    <t>Dong Van Karst Plateau</t>
  </si>
  <si>
    <t>Vietnam</t>
  </si>
  <si>
    <t>San'in Kaigan</t>
  </si>
  <si>
    <t>Lanzarote and Chinijo Islands</t>
  </si>
  <si>
    <t>Stonehammer</t>
  </si>
  <si>
    <t>Cliffs of Fundy</t>
  </si>
  <si>
    <t xml:space="preserve">Villuercas Ibores Jara </t>
  </si>
  <si>
    <t>Huanggang Dabieshan</t>
  </si>
  <si>
    <t>Geopark science popularization personnel</t>
  </si>
  <si>
    <t>Ningde</t>
  </si>
  <si>
    <t>Xiangxi</t>
  </si>
  <si>
    <t>Seridó</t>
  </si>
  <si>
    <t>Brazil</t>
  </si>
  <si>
    <t>Scientific Coordinator</t>
  </si>
  <si>
    <t>Rinjani-Lombok</t>
  </si>
  <si>
    <t>Southern Canyons Pathways</t>
  </si>
  <si>
    <t>Technical team coordinator</t>
  </si>
  <si>
    <t>Gea Norvegica</t>
  </si>
  <si>
    <t>Norway</t>
  </si>
  <si>
    <t>Magma</t>
  </si>
  <si>
    <t>Non Nuoc Cao Bang</t>
  </si>
  <si>
    <t>Leiqiong</t>
  </si>
  <si>
    <t>I don't use digital tools</t>
  </si>
  <si>
    <t>Khorat</t>
  </si>
  <si>
    <t>Thailand</t>
  </si>
  <si>
    <t>Board of Executive Committee</t>
  </si>
  <si>
    <t>Bakony-Balaton</t>
  </si>
  <si>
    <t>Hungary</t>
  </si>
  <si>
    <t>Araripe</t>
  </si>
  <si>
    <t>Grutas del Palacio</t>
  </si>
  <si>
    <t>Uruguay</t>
  </si>
  <si>
    <t>Social Media</t>
  </si>
  <si>
    <t>Platåbergens</t>
  </si>
  <si>
    <t>Sweden</t>
  </si>
  <si>
    <t>Salpausselkä</t>
  </si>
  <si>
    <t>Naturtejo da Meseta Meridional</t>
  </si>
  <si>
    <t>Granada</t>
  </si>
  <si>
    <t>Technician</t>
  </si>
  <si>
    <t>Vestjylland</t>
  </si>
  <si>
    <t>Initial 3-4</t>
  </si>
  <si>
    <t>Dak Nong</t>
  </si>
  <si>
    <t>Belitong</t>
  </si>
  <si>
    <t>Merangin Jambi</t>
  </si>
  <si>
    <t>Lauhanvuori - Hämeenkangas</t>
  </si>
  <si>
    <t>Virtual meetings (Teams or other)</t>
  </si>
  <si>
    <t>Maros Pangkep</t>
  </si>
  <si>
    <t>Management Board Secretary</t>
  </si>
  <si>
    <t>M'Goun</t>
  </si>
  <si>
    <t>AUGGN</t>
  </si>
  <si>
    <t>Morocco</t>
  </si>
  <si>
    <t>President</t>
  </si>
  <si>
    <t xml:space="preserve">Social network </t>
  </si>
  <si>
    <t>Saimaa</t>
  </si>
  <si>
    <t>Colca y volcanes de Andagua</t>
  </si>
  <si>
    <t>Peru</t>
  </si>
  <si>
    <t>Vis Archipelago</t>
  </si>
  <si>
    <t>Croatia</t>
  </si>
  <si>
    <t>Swabian Alb</t>
  </si>
  <si>
    <t>Mount Kunlun</t>
  </si>
  <si>
    <t>Waitaki Whitestone</t>
  </si>
  <si>
    <t>New Zealand</t>
  </si>
  <si>
    <t>Thuringia Inselsberg - Drei Gleichen</t>
  </si>
  <si>
    <t>Tumbler Ridge</t>
  </si>
  <si>
    <t>Executive Director</t>
  </si>
  <si>
    <t>Trail mapping/GIS</t>
  </si>
  <si>
    <t>Kütralkura</t>
  </si>
  <si>
    <t>Chile</t>
  </si>
  <si>
    <t>Katla</t>
  </si>
  <si>
    <t>Trollfjell</t>
  </si>
  <si>
    <t>Ngorongoro Lengai</t>
  </si>
  <si>
    <t>Tanzania</t>
  </si>
  <si>
    <t>Raja Ampat</t>
  </si>
  <si>
    <t>Secretary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</si>
</sst>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2" fontId="1" fillId="2" borderId="0" xfId="0" applyNumberFormat="1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2" fontId="0" fillId="0" borderId="0" xfId="0" applyNumberFormat="1"/>
    <xf numFmtId="1" fontId="0" fillId="0" borderId="0" xfId="0" applyNumberFormat="1" applyAlignment="1">
      <alignment horizontal="right"/>
    </xf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49" fontId="0" fillId="0" borderId="0" xfId="0" applyNumberFormat="1"/>
    <xf numFmtId="2" fontId="0" fillId="0" borderId="0" xfId="0" applyNumberFormat="1" applyAlignment="1">
      <alignment wrapText="1"/>
    </xf>
    <xf numFmtId="4" fontId="0" fillId="0" borderId="0" xfId="0" applyNumberFormat="1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0" fontId="1" fillId="8" borderId="0" xfId="0" applyFont="1" applyFill="1"/>
    <xf numFmtId="1" fontId="1" fillId="8" borderId="0" xfId="0" applyNumberFormat="1" applyFont="1" applyFill="1" applyAlignment="1">
      <alignment horizontal="right"/>
    </xf>
    <xf numFmtId="49" fontId="1" fillId="8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iversitytasmania-my.sharepoint.com/personal/mark_williams_utas_edu_au/Documents/Research/PhD/Data/Role%20of%20Digital%20Tools%20Questionnaire/Role_Digital_tools_results-survey.xlsx" TargetMode="External"/><Relationship Id="rId1" Type="http://schemas.openxmlformats.org/officeDocument/2006/relationships/externalLinkPath" Target="Role%20of%20Digital%20Tools%20Questionnaire/Role_Digital_tools_results-surve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GN"/>
      <sheetName val="AUGGN"/>
      <sheetName val="EGN"/>
      <sheetName val="GeoLAC"/>
      <sheetName val="CGN"/>
      <sheetName val="Network_Proportions"/>
      <sheetName val="Cleaned Data UGGp"/>
      <sheetName val="Cleaned Data Aspiring"/>
      <sheetName val="Original Data Extract"/>
      <sheetName val="UGGp"/>
      <sheetName val="aUGGp"/>
      <sheetName val="2023 UGGp"/>
      <sheetName val="Data Cleanup proces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T2" t="str">
            <v>Unknown</v>
          </cell>
        </row>
        <row r="3">
          <cell r="BT3" t="str">
            <v>Moderate</v>
          </cell>
        </row>
        <row r="4">
          <cell r="BT4" t="str">
            <v>High</v>
          </cell>
        </row>
        <row r="5">
          <cell r="BT5" t="str">
            <v>Low</v>
          </cell>
        </row>
        <row r="6">
          <cell r="BT6" t="str">
            <v>Unknown</v>
          </cell>
        </row>
        <row r="7">
          <cell r="BT7" t="str">
            <v>High</v>
          </cell>
        </row>
        <row r="8">
          <cell r="BT8" t="str">
            <v>Moderate</v>
          </cell>
        </row>
        <row r="9">
          <cell r="BT9" t="str">
            <v>High</v>
          </cell>
        </row>
        <row r="10">
          <cell r="BT10" t="str">
            <v>High</v>
          </cell>
        </row>
        <row r="11">
          <cell r="BT11" t="str">
            <v>High</v>
          </cell>
        </row>
        <row r="12">
          <cell r="BT12" t="str">
            <v>Moderate</v>
          </cell>
        </row>
        <row r="13">
          <cell r="BT13" t="str">
            <v>High</v>
          </cell>
        </row>
        <row r="14">
          <cell r="BT14" t="str">
            <v>Moderate</v>
          </cell>
        </row>
        <row r="15">
          <cell r="BT15" t="str">
            <v>High</v>
          </cell>
        </row>
        <row r="16">
          <cell r="BT16" t="str">
            <v>High</v>
          </cell>
        </row>
        <row r="17">
          <cell r="BT17" t="str">
            <v>Moderate</v>
          </cell>
        </row>
        <row r="18">
          <cell r="BT18" t="str">
            <v>Low</v>
          </cell>
        </row>
        <row r="19">
          <cell r="BT19" t="str">
            <v>High</v>
          </cell>
        </row>
        <row r="20">
          <cell r="BT20" t="str">
            <v>Moderate</v>
          </cell>
        </row>
        <row r="21">
          <cell r="BT21" t="str">
            <v>High</v>
          </cell>
        </row>
        <row r="22">
          <cell r="BT22" t="str">
            <v>Low</v>
          </cell>
        </row>
        <row r="23">
          <cell r="BT23" t="str">
            <v>High</v>
          </cell>
        </row>
        <row r="24">
          <cell r="BT24" t="str">
            <v>Moderate</v>
          </cell>
        </row>
        <row r="25">
          <cell r="BT25" t="str">
            <v>Low</v>
          </cell>
        </row>
        <row r="26">
          <cell r="BT26" t="str">
            <v>Moderate</v>
          </cell>
        </row>
        <row r="27">
          <cell r="BT27" t="str">
            <v>High</v>
          </cell>
        </row>
        <row r="28">
          <cell r="BT28" t="str">
            <v>Moderate</v>
          </cell>
        </row>
        <row r="29">
          <cell r="BT29" t="str">
            <v>Low</v>
          </cell>
        </row>
        <row r="30">
          <cell r="BT30" t="str">
            <v>Moderate</v>
          </cell>
        </row>
        <row r="31">
          <cell r="BT31" t="str">
            <v>Low</v>
          </cell>
        </row>
        <row r="32">
          <cell r="BT32" t="str">
            <v>Low</v>
          </cell>
        </row>
        <row r="33">
          <cell r="BT33" t="str">
            <v>Moderate</v>
          </cell>
        </row>
        <row r="34">
          <cell r="BT34" t="str">
            <v>High</v>
          </cell>
        </row>
        <row r="35">
          <cell r="BT35" t="str">
            <v>High</v>
          </cell>
        </row>
        <row r="36">
          <cell r="BT36" t="str">
            <v>High</v>
          </cell>
        </row>
        <row r="37">
          <cell r="BT37" t="str">
            <v>Unknown</v>
          </cell>
        </row>
        <row r="38">
          <cell r="BT38" t="str">
            <v>Unknown</v>
          </cell>
        </row>
        <row r="39">
          <cell r="BT39" t="str">
            <v>High</v>
          </cell>
        </row>
        <row r="40">
          <cell r="BT40" t="str">
            <v>Low</v>
          </cell>
        </row>
        <row r="41">
          <cell r="BT41" t="str">
            <v>High</v>
          </cell>
        </row>
        <row r="42">
          <cell r="BT42" t="str">
            <v>Moderate</v>
          </cell>
        </row>
        <row r="43">
          <cell r="BT43" t="str">
            <v>High</v>
          </cell>
        </row>
        <row r="44">
          <cell r="BT44" t="str">
            <v>Low</v>
          </cell>
        </row>
        <row r="45">
          <cell r="BT45" t="str">
            <v>Moderate</v>
          </cell>
        </row>
        <row r="46">
          <cell r="BT46" t="str">
            <v>Moderate</v>
          </cell>
        </row>
        <row r="47">
          <cell r="BT47" t="str">
            <v>Low</v>
          </cell>
        </row>
        <row r="48">
          <cell r="BT48" t="str">
            <v>Low</v>
          </cell>
        </row>
        <row r="49">
          <cell r="BT49" t="str">
            <v>High</v>
          </cell>
        </row>
        <row r="50">
          <cell r="BT50" t="str">
            <v>High</v>
          </cell>
        </row>
        <row r="51">
          <cell r="BT51" t="str">
            <v>Moderate</v>
          </cell>
        </row>
        <row r="52">
          <cell r="BT52" t="str">
            <v>Low</v>
          </cell>
        </row>
        <row r="53">
          <cell r="BT53" t="str">
            <v>Moderate</v>
          </cell>
        </row>
        <row r="54">
          <cell r="BT54" t="str">
            <v>High</v>
          </cell>
        </row>
        <row r="55">
          <cell r="BT55" t="str">
            <v>Moderate</v>
          </cell>
        </row>
        <row r="56">
          <cell r="BT56" t="str">
            <v>Moderate</v>
          </cell>
        </row>
        <row r="57">
          <cell r="BT57" t="str">
            <v>High</v>
          </cell>
        </row>
        <row r="58">
          <cell r="BT58" t="str">
            <v>Moderate</v>
          </cell>
        </row>
        <row r="59">
          <cell r="BT59" t="str">
            <v>Low</v>
          </cell>
        </row>
        <row r="60">
          <cell r="BT60" t="str">
            <v>Moderate</v>
          </cell>
        </row>
        <row r="61">
          <cell r="BT61" t="str">
            <v>Moderate</v>
          </cell>
        </row>
        <row r="62">
          <cell r="BT62" t="str">
            <v>High</v>
          </cell>
        </row>
        <row r="63">
          <cell r="BT63" t="str">
            <v>Moderate</v>
          </cell>
        </row>
        <row r="64">
          <cell r="BT64" t="str">
            <v>Low</v>
          </cell>
        </row>
        <row r="65">
          <cell r="BT65" t="str">
            <v>Moderate</v>
          </cell>
        </row>
        <row r="66">
          <cell r="BT66" t="str">
            <v>High</v>
          </cell>
        </row>
        <row r="67">
          <cell r="BT67" t="str">
            <v>High</v>
          </cell>
        </row>
        <row r="68">
          <cell r="BT68" t="str">
            <v>Moderate</v>
          </cell>
        </row>
        <row r="69">
          <cell r="BT69" t="str">
            <v>High</v>
          </cell>
        </row>
        <row r="70">
          <cell r="BT70" t="str">
            <v>High</v>
          </cell>
        </row>
        <row r="71">
          <cell r="BT71" t="str">
            <v>Low</v>
          </cell>
        </row>
        <row r="72">
          <cell r="BT72" t="str">
            <v>Moderate</v>
          </cell>
        </row>
        <row r="73">
          <cell r="BT73" t="str">
            <v>Moderate</v>
          </cell>
        </row>
        <row r="74">
          <cell r="BT74" t="str">
            <v>High</v>
          </cell>
        </row>
        <row r="75">
          <cell r="BT75" t="str">
            <v>Moderate</v>
          </cell>
        </row>
        <row r="76">
          <cell r="BT76" t="str">
            <v>Low</v>
          </cell>
        </row>
        <row r="77">
          <cell r="BT77" t="str">
            <v>Low</v>
          </cell>
        </row>
        <row r="78">
          <cell r="BT78" t="str">
            <v>Moderate</v>
          </cell>
        </row>
        <row r="79">
          <cell r="BT79" t="str">
            <v>Moderate</v>
          </cell>
        </row>
        <row r="80">
          <cell r="BT80" t="str">
            <v>High</v>
          </cell>
        </row>
        <row r="81">
          <cell r="BT81" t="str">
            <v>Moderate</v>
          </cell>
        </row>
        <row r="82">
          <cell r="BT82" t="str">
            <v>Moderate</v>
          </cell>
        </row>
        <row r="83">
          <cell r="BT83" t="str">
            <v>High</v>
          </cell>
        </row>
        <row r="84">
          <cell r="BT84" t="str">
            <v>High</v>
          </cell>
        </row>
        <row r="85">
          <cell r="BT85" t="str">
            <v>Moderate</v>
          </cell>
        </row>
        <row r="86">
          <cell r="BT86" t="str">
            <v>Moderate</v>
          </cell>
        </row>
        <row r="87">
          <cell r="BT87" t="str">
            <v>High</v>
          </cell>
        </row>
        <row r="88">
          <cell r="BT88" t="str">
            <v>Moderate</v>
          </cell>
        </row>
        <row r="89">
          <cell r="BT89" t="str">
            <v>Moderate</v>
          </cell>
        </row>
        <row r="90">
          <cell r="BT90" t="str">
            <v>Low</v>
          </cell>
        </row>
        <row r="91">
          <cell r="BT91" t="str">
            <v>Unknown</v>
          </cell>
        </row>
        <row r="92">
          <cell r="BT92" t="str">
            <v>High</v>
          </cell>
        </row>
        <row r="93">
          <cell r="BT93" t="str">
            <v>Unknown</v>
          </cell>
        </row>
        <row r="94">
          <cell r="BT94" t="str">
            <v>Moderate</v>
          </cell>
        </row>
        <row r="95">
          <cell r="BT95" t="str">
            <v>High</v>
          </cell>
        </row>
        <row r="96">
          <cell r="BT96" t="str">
            <v>Moderate</v>
          </cell>
        </row>
        <row r="97">
          <cell r="BT97" t="str">
            <v>High</v>
          </cell>
        </row>
        <row r="98">
          <cell r="BT98" t="str">
            <v>High</v>
          </cell>
        </row>
        <row r="99">
          <cell r="BT99" t="str">
            <v>Moderate</v>
          </cell>
        </row>
        <row r="100">
          <cell r="BT100" t="str">
            <v>High</v>
          </cell>
        </row>
        <row r="101">
          <cell r="BT101" t="str">
            <v>Low</v>
          </cell>
        </row>
        <row r="102">
          <cell r="BT102" t="str">
            <v>Low</v>
          </cell>
        </row>
        <row r="103">
          <cell r="BT103" t="str">
            <v>Moderate</v>
          </cell>
        </row>
        <row r="104">
          <cell r="BT104" t="str">
            <v>Low</v>
          </cell>
        </row>
        <row r="105">
          <cell r="BT105" t="str">
            <v>High</v>
          </cell>
        </row>
        <row r="106">
          <cell r="BT106" t="str">
            <v>Low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0B41A-84EB-4318-858E-5373F610024F}">
  <dimension ref="A1:CA114"/>
  <sheetViews>
    <sheetView tabSelected="1" topLeftCell="BP1" zoomScaleNormal="100" workbookViewId="0">
      <pane ySplit="1" topLeftCell="A2" activePane="bottomLeft" state="frozen"/>
      <selection pane="bottomLeft" activeCell="BX9" sqref="BX9"/>
    </sheetView>
  </sheetViews>
  <sheetFormatPr defaultRowHeight="15" x14ac:dyDescent="0.25"/>
  <cols>
    <col min="1" max="1" width="36.7109375" bestFit="1" customWidth="1"/>
    <col min="2" max="2" width="9.7109375" customWidth="1"/>
    <col min="3" max="3" width="12" customWidth="1"/>
    <col min="4" max="5" width="16" style="8" customWidth="1"/>
    <col min="6" max="6" width="21.42578125" customWidth="1"/>
    <col min="7" max="8" width="24" customWidth="1"/>
    <col min="9" max="9" width="65" customWidth="1"/>
    <col min="10" max="10" width="16.28515625" customWidth="1"/>
    <col min="11" max="11" width="44.28515625" customWidth="1"/>
    <col min="12" max="12" width="31.140625" customWidth="1"/>
    <col min="13" max="13" width="9.7109375" customWidth="1"/>
    <col min="14" max="15" width="9.140625" customWidth="1"/>
    <col min="16" max="16" width="12.28515625" customWidth="1"/>
    <col min="17" max="17" width="10.140625" customWidth="1"/>
    <col min="18" max="20" width="20.28515625" customWidth="1"/>
    <col min="21" max="21" width="29.28515625" style="8" customWidth="1"/>
    <col min="22" max="22" width="25.85546875" customWidth="1"/>
    <col min="23" max="23" width="82.7109375" customWidth="1"/>
    <col min="24" max="24" width="11.140625" customWidth="1"/>
    <col min="25" max="25" width="17.85546875" customWidth="1"/>
    <col min="26" max="26" width="39.140625" customWidth="1"/>
    <col min="27" max="27" width="35.140625" customWidth="1"/>
    <col min="28" max="28" width="27.7109375" customWidth="1"/>
    <col min="29" max="29" width="20.85546875" customWidth="1"/>
    <col min="30" max="30" width="24.140625" customWidth="1"/>
    <col min="31" max="31" width="29" customWidth="1"/>
    <col min="32" max="32" width="22.140625" customWidth="1"/>
    <col min="33" max="33" width="17.7109375" customWidth="1"/>
    <col min="34" max="34" width="26.7109375" customWidth="1"/>
    <col min="35" max="35" width="18.140625" customWidth="1"/>
    <col min="36" max="36" width="22.7109375" customWidth="1"/>
    <col min="37" max="37" width="37.85546875" customWidth="1"/>
    <col min="38" max="39" width="21" customWidth="1"/>
    <col min="40" max="41" width="32.5703125" customWidth="1"/>
    <col min="42" max="42" width="26.140625" customWidth="1"/>
    <col min="43" max="43" width="34.28515625" customWidth="1"/>
    <col min="44" max="44" width="19.85546875" customWidth="1"/>
    <col min="45" max="45" width="21.140625" customWidth="1"/>
    <col min="46" max="46" width="35.28515625" customWidth="1"/>
    <col min="47" max="47" width="25" customWidth="1"/>
    <col min="48" max="49" width="32.5703125" customWidth="1"/>
    <col min="50" max="50" width="44.42578125" customWidth="1"/>
    <col min="51" max="51" width="32.5703125" customWidth="1"/>
    <col min="52" max="52" width="20.140625" customWidth="1"/>
    <col min="53" max="53" width="21.140625" customWidth="1"/>
    <col min="54" max="54" width="10.85546875" customWidth="1"/>
    <col min="55" max="55" width="18.7109375" customWidth="1"/>
    <col min="56" max="56" width="32.7109375" customWidth="1"/>
    <col min="57" max="57" width="12.5703125" customWidth="1"/>
    <col min="58" max="58" width="20" customWidth="1"/>
    <col min="59" max="62" width="16.85546875" customWidth="1"/>
    <col min="63" max="63" width="42.42578125" customWidth="1"/>
    <col min="64" max="64" width="44.28515625" customWidth="1"/>
    <col min="65" max="65" width="13" customWidth="1"/>
    <col min="66" max="66" width="12.42578125" customWidth="1"/>
    <col min="67" max="67" width="31.85546875" bestFit="1" customWidth="1"/>
    <col min="68" max="68" width="25.28515625" bestFit="1" customWidth="1"/>
    <col min="69" max="72" width="20.5703125" customWidth="1"/>
    <col min="73" max="73" width="15.7109375" customWidth="1"/>
    <col min="74" max="74" width="20.28515625" customWidth="1"/>
    <col min="75" max="75" width="26" style="9" bestFit="1" customWidth="1"/>
    <col min="76" max="76" width="26" style="17" customWidth="1"/>
    <col min="77" max="77" width="22.28515625" bestFit="1" customWidth="1"/>
    <col min="78" max="78" width="25.7109375" bestFit="1" customWidth="1"/>
    <col min="79" max="79" width="11.7109375" bestFit="1" customWidth="1"/>
  </cols>
  <sheetData>
    <row r="1" spans="1:7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18" t="s">
        <v>72</v>
      </c>
      <c r="BV1" s="18" t="s">
        <v>73</v>
      </c>
      <c r="BW1" s="19" t="s">
        <v>74</v>
      </c>
      <c r="BX1" s="20" t="s">
        <v>75</v>
      </c>
      <c r="BY1" s="18" t="s">
        <v>76</v>
      </c>
      <c r="BZ1" s="18" t="s">
        <v>77</v>
      </c>
    </row>
    <row r="2" spans="1:78" x14ac:dyDescent="0.25">
      <c r="A2" t="s">
        <v>78</v>
      </c>
      <c r="B2">
        <v>52.138611111111103</v>
      </c>
      <c r="C2">
        <v>-7.3422222222222198</v>
      </c>
      <c r="D2" s="8">
        <v>50</v>
      </c>
      <c r="E2" s="8" t="str">
        <f t="shared" ref="E2:E65" si="0">IF(D2&lt;1000,"Small",IF(D2&lt;=5000,"Medium",IF(D2&lt;=10000,"Large","Very Large")))</f>
        <v>Small</v>
      </c>
      <c r="F2" t="s">
        <v>79</v>
      </c>
      <c r="G2" t="s">
        <v>80</v>
      </c>
      <c r="H2">
        <v>2004</v>
      </c>
      <c r="I2" t="s">
        <v>81</v>
      </c>
      <c r="J2" t="s">
        <v>82</v>
      </c>
      <c r="L2" t="s">
        <v>83</v>
      </c>
      <c r="M2" t="s">
        <v>84</v>
      </c>
      <c r="N2" t="s">
        <v>84</v>
      </c>
      <c r="O2" t="s">
        <v>85</v>
      </c>
      <c r="P2" t="s">
        <v>84</v>
      </c>
      <c r="Q2" t="s">
        <v>84</v>
      </c>
      <c r="R2" t="s">
        <v>85</v>
      </c>
      <c r="S2" s="8">
        <f t="shared" ref="S2:S65" si="1">COUNTIF(M2:R2, "Yes")</f>
        <v>4</v>
      </c>
      <c r="T2" s="8">
        <v>0</v>
      </c>
      <c r="U2" s="8">
        <f t="shared" ref="U2:U65" si="2">(COUNTIF(M2:R2, "Yes")/6)*100</f>
        <v>66.666666666666657</v>
      </c>
      <c r="V2" t="str">
        <f t="shared" ref="V2:V65" si="3">IF(U2 &lt;= 33.3, "Low", IF(U2 &lt;= 66.7, "Medium", "High"))</f>
        <v>Medium</v>
      </c>
      <c r="X2" t="s">
        <v>86</v>
      </c>
      <c r="Y2" t="s">
        <v>86</v>
      </c>
      <c r="Z2" t="s">
        <v>86</v>
      </c>
      <c r="AA2" t="s">
        <v>86</v>
      </c>
      <c r="AB2" t="s">
        <v>86</v>
      </c>
      <c r="AC2" t="s">
        <v>86</v>
      </c>
      <c r="AD2">
        <f t="shared" ref="AD2:AD65" si="4">COUNTIF(X2:AC2, "Yes")</f>
        <v>0</v>
      </c>
      <c r="AE2">
        <f t="shared" ref="AE2:AE65" si="5">(COUNTIF(X2:AC2, "Yes")/7)*100</f>
        <v>0</v>
      </c>
      <c r="AF2" t="s">
        <v>86</v>
      </c>
      <c r="AG2" t="s">
        <v>86</v>
      </c>
      <c r="AH2" t="s">
        <v>86</v>
      </c>
      <c r="AI2" t="s">
        <v>86</v>
      </c>
      <c r="AJ2" t="s">
        <v>86</v>
      </c>
      <c r="AK2" t="s">
        <v>86</v>
      </c>
      <c r="AL2" t="s">
        <v>86</v>
      </c>
      <c r="AM2">
        <f t="shared" ref="AM2:AM65" si="6">COUNTIF(AG2:AL2, "Yes")</f>
        <v>0</v>
      </c>
      <c r="AN2">
        <f t="shared" ref="AN2:AN65" si="7">(COUNTIF(AG2:AL2, "Yes")/7)*100</f>
        <v>0</v>
      </c>
      <c r="AO2" t="s">
        <v>86</v>
      </c>
      <c r="AP2" t="s">
        <v>86</v>
      </c>
      <c r="AQ2" t="s">
        <v>86</v>
      </c>
      <c r="AR2" t="s">
        <v>86</v>
      </c>
      <c r="AS2" t="s">
        <v>86</v>
      </c>
      <c r="AT2" t="s">
        <v>86</v>
      </c>
      <c r="AU2" t="s">
        <v>86</v>
      </c>
      <c r="AV2" t="s">
        <v>86</v>
      </c>
      <c r="AW2">
        <f t="shared" ref="AW2:AW65" si="8">(COUNTIF(AO2:AU2,"Yes"))</f>
        <v>0</v>
      </c>
      <c r="AX2">
        <f t="shared" ref="AX2:AX65" si="9">(COUNTIF(AP2:AV2, "Yes")/7)*100</f>
        <v>0</v>
      </c>
      <c r="AY2" t="s">
        <v>86</v>
      </c>
      <c r="AZ2" t="s">
        <v>86</v>
      </c>
      <c r="BA2" t="s">
        <v>86</v>
      </c>
      <c r="BB2" t="s">
        <v>86</v>
      </c>
      <c r="BC2" t="s">
        <v>86</v>
      </c>
      <c r="BD2" t="s">
        <v>86</v>
      </c>
      <c r="BE2" t="s">
        <v>86</v>
      </c>
      <c r="BF2" t="s">
        <v>86</v>
      </c>
      <c r="BG2" t="s">
        <v>86</v>
      </c>
      <c r="BH2">
        <f t="shared" ref="BH2:BH65" si="10">COUNTIF(AZ2:BG2, "Yes")</f>
        <v>0</v>
      </c>
      <c r="BI2">
        <f t="shared" ref="BI2:BI65" si="11">(COUNTIF(AZ2:BG2, "Yes")/7)*100</f>
        <v>0</v>
      </c>
      <c r="BJ2" t="s">
        <v>86</v>
      </c>
      <c r="BK2" t="s">
        <v>86</v>
      </c>
      <c r="BL2" t="s">
        <v>86</v>
      </c>
      <c r="BM2" t="s">
        <v>86</v>
      </c>
      <c r="BN2" t="s">
        <v>86</v>
      </c>
      <c r="BO2">
        <f t="shared" ref="BO2:BO65" si="12">COUNTIF(BK2:BN2, "Yes")</f>
        <v>0</v>
      </c>
      <c r="BP2">
        <f t="shared" ref="BP2:BP65" si="13">(COUNTIF(BK2:BN2, "Yes")/7)*100</f>
        <v>0</v>
      </c>
      <c r="BQ2" t="str">
        <f t="shared" ref="BQ2:BQ65" si="14">IF(BP2 &lt;= 33, "Low", IF(BP2 &lt;= 66, "Medium", "High"))</f>
        <v>Low</v>
      </c>
      <c r="BR2" t="s">
        <v>86</v>
      </c>
      <c r="BS2" t="s">
        <v>86</v>
      </c>
      <c r="BT2" t="s">
        <v>86</v>
      </c>
      <c r="BU2" t="s">
        <v>87</v>
      </c>
      <c r="BV2" t="s">
        <v>87</v>
      </c>
      <c r="BW2" s="9">
        <v>2023</v>
      </c>
      <c r="BX2" s="10" t="s">
        <v>88</v>
      </c>
      <c r="BY2" s="8"/>
      <c r="BZ2" t="s">
        <v>87</v>
      </c>
    </row>
    <row r="3" spans="1:78" x14ac:dyDescent="0.25">
      <c r="A3" t="s">
        <v>89</v>
      </c>
      <c r="B3">
        <v>43.295833333333299</v>
      </c>
      <c r="C3">
        <v>-2.3544444444444399</v>
      </c>
      <c r="D3" s="8">
        <v>89</v>
      </c>
      <c r="E3" s="8" t="str">
        <f t="shared" si="0"/>
        <v>Small</v>
      </c>
      <c r="F3" t="s">
        <v>79</v>
      </c>
      <c r="G3" t="s">
        <v>90</v>
      </c>
      <c r="H3">
        <v>2010</v>
      </c>
      <c r="I3" t="s">
        <v>81</v>
      </c>
      <c r="J3" t="s">
        <v>91</v>
      </c>
      <c r="L3" t="s">
        <v>83</v>
      </c>
      <c r="M3" t="s">
        <v>84</v>
      </c>
      <c r="N3" t="s">
        <v>85</v>
      </c>
      <c r="O3" s="12" t="s">
        <v>84</v>
      </c>
      <c r="P3" t="s">
        <v>84</v>
      </c>
      <c r="Q3" t="s">
        <v>84</v>
      </c>
      <c r="R3" t="s">
        <v>85</v>
      </c>
      <c r="S3" s="8">
        <f t="shared" si="1"/>
        <v>4</v>
      </c>
      <c r="T3" s="8">
        <v>0</v>
      </c>
      <c r="U3" s="8">
        <f t="shared" si="2"/>
        <v>66.666666666666657</v>
      </c>
      <c r="V3" t="str">
        <f t="shared" si="3"/>
        <v>Medium</v>
      </c>
      <c r="X3" t="s">
        <v>84</v>
      </c>
      <c r="Y3" t="s">
        <v>85</v>
      </c>
      <c r="Z3" t="s">
        <v>84</v>
      </c>
      <c r="AA3" t="s">
        <v>85</v>
      </c>
      <c r="AB3" t="s">
        <v>85</v>
      </c>
      <c r="AC3" t="s">
        <v>85</v>
      </c>
      <c r="AD3">
        <f t="shared" si="4"/>
        <v>2</v>
      </c>
      <c r="AE3">
        <f t="shared" si="5"/>
        <v>28.571428571428569</v>
      </c>
      <c r="AF3" t="str">
        <f>IF(AE3 &lt;= 33.3, "Low", IF(AE3 &lt;= 66.7, "Medium", "High"))</f>
        <v>Low</v>
      </c>
      <c r="AG3" t="s">
        <v>85</v>
      </c>
      <c r="AH3" t="s">
        <v>85</v>
      </c>
      <c r="AI3" t="s">
        <v>84</v>
      </c>
      <c r="AJ3" t="s">
        <v>84</v>
      </c>
      <c r="AK3" t="s">
        <v>84</v>
      </c>
      <c r="AL3" t="s">
        <v>84</v>
      </c>
      <c r="AM3">
        <f t="shared" si="6"/>
        <v>4</v>
      </c>
      <c r="AN3">
        <f t="shared" si="7"/>
        <v>57.142857142857139</v>
      </c>
      <c r="AO3" t="str">
        <f>IF(AN3 &lt;= 33.3, "Low", IF(AN3 &lt;= 66.7, "Medium", "High"))</f>
        <v>Medium</v>
      </c>
      <c r="AP3" t="s">
        <v>84</v>
      </c>
      <c r="AQ3" t="s">
        <v>85</v>
      </c>
      <c r="AR3" t="s">
        <v>85</v>
      </c>
      <c r="AS3" t="s">
        <v>84</v>
      </c>
      <c r="AT3" t="s">
        <v>84</v>
      </c>
      <c r="AU3" t="s">
        <v>85</v>
      </c>
      <c r="AV3" t="s">
        <v>85</v>
      </c>
      <c r="AW3">
        <f t="shared" si="8"/>
        <v>3</v>
      </c>
      <c r="AX3">
        <f t="shared" si="9"/>
        <v>42.857142857142854</v>
      </c>
      <c r="AY3" t="str">
        <f>IF(AX3 &lt;= 33.3, "Low", IF(AX3 &lt;= 66.7, "Medium", "High"))</f>
        <v>Medium</v>
      </c>
      <c r="AZ3" t="s">
        <v>85</v>
      </c>
      <c r="BA3" t="s">
        <v>84</v>
      </c>
      <c r="BB3" t="s">
        <v>85</v>
      </c>
      <c r="BC3" t="s">
        <v>85</v>
      </c>
      <c r="BD3" t="s">
        <v>84</v>
      </c>
      <c r="BE3" t="s">
        <v>84</v>
      </c>
      <c r="BF3" t="s">
        <v>84</v>
      </c>
      <c r="BG3" t="s">
        <v>85</v>
      </c>
      <c r="BH3">
        <f t="shared" si="10"/>
        <v>4</v>
      </c>
      <c r="BI3">
        <f t="shared" si="11"/>
        <v>57.142857142857139</v>
      </c>
      <c r="BJ3" t="str">
        <f>IF(BI3 &lt;= 33.3, "Low", IF(BI3 &lt;= 66.7, "Medium", "High"))</f>
        <v>Medium</v>
      </c>
      <c r="BK3" t="s">
        <v>85</v>
      </c>
      <c r="BL3" t="s">
        <v>85</v>
      </c>
      <c r="BM3" t="s">
        <v>85</v>
      </c>
      <c r="BN3" t="s">
        <v>84</v>
      </c>
      <c r="BO3">
        <f t="shared" si="12"/>
        <v>1</v>
      </c>
      <c r="BP3">
        <f t="shared" si="13"/>
        <v>14.285714285714285</v>
      </c>
      <c r="BQ3" t="str">
        <f t="shared" si="14"/>
        <v>Low</v>
      </c>
      <c r="BR3">
        <f>((COUNTIF(X3:AC3, "Yes") + COUNTIF(AG3:AL3, "Yes") + COUNTIF(AP3:AV3, "Yes") + COUNTIF(AZ3:BG3, "Yes") + COUNTIF(BK3:BN3, "Yes")) / 31) *100</f>
        <v>45.161290322580641</v>
      </c>
      <c r="BS3">
        <f>COUNTIF(X3:AC3, "Yes") + COUNTIF(AG3:AL3, "Yes") + COUNTIF(AP3:AV3, "Yes") + COUNTIF(AZ3:BG3, "Yes") + COUNTIF(BK3:BN3, "Yes")</f>
        <v>14</v>
      </c>
      <c r="BT3" t="str">
        <f>IF(BR3 &lt;= 33, "Low", IF(BR3 &lt;= 66, "Moderate", "High"))</f>
        <v>Moderate</v>
      </c>
      <c r="BU3" t="s">
        <v>92</v>
      </c>
      <c r="BV3" s="13" t="s">
        <v>93</v>
      </c>
      <c r="BW3" s="9">
        <v>2022</v>
      </c>
      <c r="BX3" s="10" t="s">
        <v>88</v>
      </c>
      <c r="BY3" s="8">
        <v>0.1</v>
      </c>
      <c r="BZ3" t="s">
        <v>94</v>
      </c>
    </row>
    <row r="4" spans="1:78" x14ac:dyDescent="0.25">
      <c r="A4" t="s">
        <v>95</v>
      </c>
      <c r="B4">
        <v>30.650277777777699</v>
      </c>
      <c r="C4">
        <v>117.48333333333299</v>
      </c>
      <c r="D4" s="8">
        <v>139.69999999999999</v>
      </c>
      <c r="E4" s="8" t="str">
        <f t="shared" si="0"/>
        <v>Small</v>
      </c>
      <c r="F4" t="s">
        <v>96</v>
      </c>
      <c r="G4" t="s">
        <v>97</v>
      </c>
      <c r="H4">
        <v>2019</v>
      </c>
      <c r="I4" t="s">
        <v>98</v>
      </c>
      <c r="J4" t="s">
        <v>82</v>
      </c>
      <c r="L4" t="s">
        <v>83</v>
      </c>
      <c r="M4" t="s">
        <v>85</v>
      </c>
      <c r="N4" t="s">
        <v>85</v>
      </c>
      <c r="O4" t="s">
        <v>85</v>
      </c>
      <c r="P4" t="s">
        <v>84</v>
      </c>
      <c r="Q4" t="s">
        <v>84</v>
      </c>
      <c r="R4" t="s">
        <v>84</v>
      </c>
      <c r="S4" s="8">
        <f t="shared" si="1"/>
        <v>3</v>
      </c>
      <c r="T4" s="8">
        <v>0</v>
      </c>
      <c r="U4" s="8">
        <f t="shared" si="2"/>
        <v>50</v>
      </c>
      <c r="V4" t="str">
        <f t="shared" si="3"/>
        <v>Medium</v>
      </c>
      <c r="X4" t="s">
        <v>84</v>
      </c>
      <c r="Y4" t="s">
        <v>84</v>
      </c>
      <c r="Z4" t="s">
        <v>84</v>
      </c>
      <c r="AA4" t="s">
        <v>84</v>
      </c>
      <c r="AB4" t="s">
        <v>85</v>
      </c>
      <c r="AC4" t="s">
        <v>85</v>
      </c>
      <c r="AD4">
        <f t="shared" si="4"/>
        <v>4</v>
      </c>
      <c r="AE4">
        <f t="shared" si="5"/>
        <v>57.142857142857139</v>
      </c>
      <c r="AF4" t="str">
        <f>IF(AE4 &lt;= 33.3, "Low", IF(AE4 &lt;= 66.7, "Medium", "High"))</f>
        <v>Medium</v>
      </c>
      <c r="AG4" t="s">
        <v>84</v>
      </c>
      <c r="AH4" t="s">
        <v>84</v>
      </c>
      <c r="AI4" t="s">
        <v>84</v>
      </c>
      <c r="AJ4" t="s">
        <v>84</v>
      </c>
      <c r="AK4" t="s">
        <v>84</v>
      </c>
      <c r="AL4" t="s">
        <v>84</v>
      </c>
      <c r="AM4">
        <f t="shared" si="6"/>
        <v>6</v>
      </c>
      <c r="AN4">
        <f t="shared" si="7"/>
        <v>85.714285714285708</v>
      </c>
      <c r="AO4" t="str">
        <f>IF(AN4 &lt;= 33.3, "Low", IF(AN4 &lt;= 66.7, "Medium", "High"))</f>
        <v>High</v>
      </c>
      <c r="AP4" t="s">
        <v>84</v>
      </c>
      <c r="AQ4" t="s">
        <v>84</v>
      </c>
      <c r="AR4" t="s">
        <v>84</v>
      </c>
      <c r="AS4" t="s">
        <v>84</v>
      </c>
      <c r="AT4" t="s">
        <v>85</v>
      </c>
      <c r="AU4" t="s">
        <v>84</v>
      </c>
      <c r="AV4" t="s">
        <v>84</v>
      </c>
      <c r="AW4">
        <f t="shared" si="8"/>
        <v>5</v>
      </c>
      <c r="AX4">
        <f t="shared" si="9"/>
        <v>85.714285714285708</v>
      </c>
      <c r="AY4" t="str">
        <f>IF(AX4 &lt;= 33.3, "Low", IF(AX4 &lt;= 66.7, "Medium", "High"))</f>
        <v>High</v>
      </c>
      <c r="AZ4" t="s">
        <v>84</v>
      </c>
      <c r="BA4" t="s">
        <v>84</v>
      </c>
      <c r="BB4" t="s">
        <v>84</v>
      </c>
      <c r="BC4" t="s">
        <v>84</v>
      </c>
      <c r="BD4" t="s">
        <v>84</v>
      </c>
      <c r="BE4" t="s">
        <v>84</v>
      </c>
      <c r="BF4" t="s">
        <v>84</v>
      </c>
      <c r="BG4" t="s">
        <v>84</v>
      </c>
      <c r="BH4">
        <f t="shared" si="10"/>
        <v>8</v>
      </c>
      <c r="BI4">
        <f t="shared" si="11"/>
        <v>114.28571428571428</v>
      </c>
      <c r="BJ4" t="str">
        <f>IF(BI4 &lt;= 33.3, "Low", IF(BI4 &lt;= 66.7, "Medium", "High"))</f>
        <v>High</v>
      </c>
      <c r="BK4" t="s">
        <v>84</v>
      </c>
      <c r="BL4" t="s">
        <v>84</v>
      </c>
      <c r="BM4" t="s">
        <v>84</v>
      </c>
      <c r="BN4" t="s">
        <v>84</v>
      </c>
      <c r="BO4">
        <f t="shared" si="12"/>
        <v>4</v>
      </c>
      <c r="BP4">
        <f t="shared" si="13"/>
        <v>57.142857142857139</v>
      </c>
      <c r="BQ4" t="str">
        <f t="shared" si="14"/>
        <v>Medium</v>
      </c>
      <c r="BR4">
        <f>((COUNTIF(X4:AC4, "Yes") + COUNTIF(AG4:AL4, "Yes") + COUNTIF(AP4:AV4, "Yes") + COUNTIF(AZ4:BG4, "Yes") + COUNTIF(BK4:BN4, "Yes")) / 31) *100</f>
        <v>90.322580645161281</v>
      </c>
      <c r="BS4">
        <f>COUNTIF(X4:AC4, "Yes") + COUNTIF(AG4:AL4, "Yes") + COUNTIF(AP4:AV4, "Yes") + COUNTIF(AZ4:BG4, "Yes") + COUNTIF(BK4:BN4, "Yes")</f>
        <v>28</v>
      </c>
      <c r="BT4" t="str">
        <f>IF(BR4 &lt;= 33, "Low", IF(BR4 &lt;= 66, "Moderate", "High"))</f>
        <v>High</v>
      </c>
      <c r="BU4" t="s">
        <v>92</v>
      </c>
      <c r="BV4" s="13" t="s">
        <v>99</v>
      </c>
      <c r="BX4" s="10" t="s">
        <v>100</v>
      </c>
      <c r="BZ4" t="s">
        <v>101</v>
      </c>
    </row>
    <row r="5" spans="1:78" x14ac:dyDescent="0.25">
      <c r="A5" t="s">
        <v>102</v>
      </c>
      <c r="B5">
        <v>22.363888888888798</v>
      </c>
      <c r="C5">
        <v>114.375</v>
      </c>
      <c r="D5" s="8">
        <v>150</v>
      </c>
      <c r="E5" s="8" t="str">
        <f t="shared" si="0"/>
        <v>Small</v>
      </c>
      <c r="F5" t="s">
        <v>96</v>
      </c>
      <c r="G5" t="s">
        <v>97</v>
      </c>
      <c r="H5">
        <v>2011</v>
      </c>
      <c r="I5" t="s">
        <v>103</v>
      </c>
      <c r="J5" t="s">
        <v>82</v>
      </c>
      <c r="L5" t="s">
        <v>104</v>
      </c>
      <c r="M5" t="s">
        <v>84</v>
      </c>
      <c r="N5" t="s">
        <v>85</v>
      </c>
      <c r="O5" t="s">
        <v>85</v>
      </c>
      <c r="P5" t="s">
        <v>85</v>
      </c>
      <c r="Q5" t="s">
        <v>84</v>
      </c>
      <c r="R5" t="s">
        <v>85</v>
      </c>
      <c r="S5" s="8">
        <f t="shared" si="1"/>
        <v>2</v>
      </c>
      <c r="T5" s="8">
        <v>0</v>
      </c>
      <c r="U5" s="8">
        <f t="shared" si="2"/>
        <v>33.333333333333329</v>
      </c>
      <c r="V5" t="str">
        <f t="shared" si="3"/>
        <v>Medium</v>
      </c>
      <c r="X5" t="s">
        <v>85</v>
      </c>
      <c r="Y5" t="s">
        <v>85</v>
      </c>
      <c r="Z5" t="s">
        <v>85</v>
      </c>
      <c r="AA5" t="s">
        <v>85</v>
      </c>
      <c r="AB5" t="s">
        <v>85</v>
      </c>
      <c r="AC5" t="s">
        <v>85</v>
      </c>
      <c r="AD5">
        <f t="shared" si="4"/>
        <v>0</v>
      </c>
      <c r="AE5">
        <f t="shared" si="5"/>
        <v>0</v>
      </c>
      <c r="AF5" t="str">
        <f>IF(AE5 &lt;= 33.3, "Low", IF(AE5 &lt;= 66.7, "Medium", "High"))</f>
        <v>Low</v>
      </c>
      <c r="AG5" t="s">
        <v>85</v>
      </c>
      <c r="AH5" t="s">
        <v>85</v>
      </c>
      <c r="AI5" t="s">
        <v>85</v>
      </c>
      <c r="AJ5" t="s">
        <v>85</v>
      </c>
      <c r="AK5" t="s">
        <v>85</v>
      </c>
      <c r="AL5" t="s">
        <v>85</v>
      </c>
      <c r="AM5">
        <f t="shared" si="6"/>
        <v>0</v>
      </c>
      <c r="AN5">
        <f t="shared" si="7"/>
        <v>0</v>
      </c>
      <c r="AO5" t="str">
        <f>IF(AN5 &lt;= 33.3, "Low", IF(AN5 &lt;= 66.7, "Medium", "High"))</f>
        <v>Low</v>
      </c>
      <c r="AP5" t="s">
        <v>85</v>
      </c>
      <c r="AQ5" t="s">
        <v>85</v>
      </c>
      <c r="AR5" t="s">
        <v>85</v>
      </c>
      <c r="AS5" t="s">
        <v>85</v>
      </c>
      <c r="AT5" t="s">
        <v>85</v>
      </c>
      <c r="AU5" t="s">
        <v>85</v>
      </c>
      <c r="AV5" t="s">
        <v>85</v>
      </c>
      <c r="AW5">
        <f t="shared" si="8"/>
        <v>0</v>
      </c>
      <c r="AX5">
        <f t="shared" si="9"/>
        <v>0</v>
      </c>
      <c r="AY5" t="str">
        <f>IF(AX5 &lt;= 33.3, "Low", IF(AX5 &lt;= 66.7, "Medium", "High"))</f>
        <v>Low</v>
      </c>
      <c r="AZ5" t="s">
        <v>84</v>
      </c>
      <c r="BA5" t="s">
        <v>85</v>
      </c>
      <c r="BB5" t="s">
        <v>85</v>
      </c>
      <c r="BC5" t="s">
        <v>85</v>
      </c>
      <c r="BD5" t="s">
        <v>85</v>
      </c>
      <c r="BE5" t="s">
        <v>85</v>
      </c>
      <c r="BF5" t="s">
        <v>85</v>
      </c>
      <c r="BG5" t="s">
        <v>85</v>
      </c>
      <c r="BH5">
        <f t="shared" si="10"/>
        <v>1</v>
      </c>
      <c r="BI5">
        <f t="shared" si="11"/>
        <v>14.285714285714285</v>
      </c>
      <c r="BJ5" t="str">
        <f>IF(BI5 &lt;= 33.3, "Low", IF(BI5 &lt;= 66.7, "Medium", "High"))</f>
        <v>Low</v>
      </c>
      <c r="BK5" t="s">
        <v>85</v>
      </c>
      <c r="BL5" t="s">
        <v>85</v>
      </c>
      <c r="BM5" t="s">
        <v>85</v>
      </c>
      <c r="BN5" t="s">
        <v>85</v>
      </c>
      <c r="BO5">
        <f t="shared" si="12"/>
        <v>0</v>
      </c>
      <c r="BP5">
        <f t="shared" si="13"/>
        <v>0</v>
      </c>
      <c r="BQ5" t="str">
        <f t="shared" si="14"/>
        <v>Low</v>
      </c>
      <c r="BR5">
        <f>((COUNTIF(X5:AC5, "Yes") + COUNTIF(AG5:AL5, "Yes") + COUNTIF(AP5:AV5, "Yes") + COUNTIF(AZ5:BG5, "Yes") + COUNTIF(BK5:BN5, "Yes")) / 31) *100</f>
        <v>3.225806451612903</v>
      </c>
      <c r="BS5">
        <f>COUNTIF(X5:AC5, "Yes") + COUNTIF(AG5:AL5, "Yes") + COUNTIF(AP5:AV5, "Yes") + COUNTIF(AZ5:BG5, "Yes") + COUNTIF(BK5:BN5, "Yes")</f>
        <v>1</v>
      </c>
      <c r="BT5" t="str">
        <f>IF(BR5 &lt;= 33, "Low", IF(BR5 &lt;= 66, "Moderate", "High"))</f>
        <v>Low</v>
      </c>
      <c r="BU5" t="s">
        <v>105</v>
      </c>
      <c r="BV5" s="13" t="s">
        <v>99</v>
      </c>
      <c r="BW5" s="9">
        <v>2017</v>
      </c>
      <c r="BX5" s="10" t="s">
        <v>100</v>
      </c>
      <c r="BY5" s="8">
        <v>5.0000000000000001E-3</v>
      </c>
      <c r="BZ5" t="s">
        <v>94</v>
      </c>
    </row>
    <row r="6" spans="1:78" x14ac:dyDescent="0.25">
      <c r="A6" t="s">
        <v>106</v>
      </c>
      <c r="B6">
        <v>54.258611111111101</v>
      </c>
      <c r="C6">
        <v>-7.5147222222222201</v>
      </c>
      <c r="D6" s="8">
        <v>180</v>
      </c>
      <c r="E6" s="8" t="str">
        <f t="shared" si="0"/>
        <v>Small</v>
      </c>
      <c r="F6" t="s">
        <v>79</v>
      </c>
      <c r="G6" t="s">
        <v>107</v>
      </c>
      <c r="H6">
        <v>2004</v>
      </c>
      <c r="I6" t="s">
        <v>81</v>
      </c>
      <c r="J6" t="s">
        <v>82</v>
      </c>
      <c r="L6" t="s">
        <v>83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s="8">
        <f t="shared" si="1"/>
        <v>6</v>
      </c>
      <c r="T6" s="8">
        <v>0</v>
      </c>
      <c r="U6" s="8">
        <f t="shared" si="2"/>
        <v>100</v>
      </c>
      <c r="V6" t="str">
        <f t="shared" si="3"/>
        <v>High</v>
      </c>
      <c r="W6" t="s">
        <v>108</v>
      </c>
      <c r="X6" t="s">
        <v>86</v>
      </c>
      <c r="Y6" t="s">
        <v>86</v>
      </c>
      <c r="Z6" t="s">
        <v>86</v>
      </c>
      <c r="AA6" t="s">
        <v>86</v>
      </c>
      <c r="AB6" t="s">
        <v>86</v>
      </c>
      <c r="AC6" t="s">
        <v>86</v>
      </c>
      <c r="AD6">
        <f t="shared" si="4"/>
        <v>0</v>
      </c>
      <c r="AE6">
        <f t="shared" si="5"/>
        <v>0</v>
      </c>
      <c r="AF6" t="s">
        <v>86</v>
      </c>
      <c r="AG6" t="s">
        <v>86</v>
      </c>
      <c r="AH6" t="s">
        <v>86</v>
      </c>
      <c r="AI6" t="s">
        <v>86</v>
      </c>
      <c r="AJ6" t="s">
        <v>86</v>
      </c>
      <c r="AK6" t="s">
        <v>86</v>
      </c>
      <c r="AL6" t="s">
        <v>86</v>
      </c>
      <c r="AM6">
        <f t="shared" si="6"/>
        <v>0</v>
      </c>
      <c r="AN6">
        <f t="shared" si="7"/>
        <v>0</v>
      </c>
      <c r="AO6" t="s">
        <v>86</v>
      </c>
      <c r="AP6" t="s">
        <v>86</v>
      </c>
      <c r="AQ6" t="s">
        <v>86</v>
      </c>
      <c r="AR6" t="s">
        <v>86</v>
      </c>
      <c r="AS6" t="s">
        <v>86</v>
      </c>
      <c r="AT6" t="s">
        <v>86</v>
      </c>
      <c r="AU6" t="s">
        <v>86</v>
      </c>
      <c r="AV6" t="s">
        <v>86</v>
      </c>
      <c r="AW6">
        <f t="shared" si="8"/>
        <v>0</v>
      </c>
      <c r="AX6">
        <f t="shared" si="9"/>
        <v>0</v>
      </c>
      <c r="AY6" t="s">
        <v>86</v>
      </c>
      <c r="AZ6" t="s">
        <v>86</v>
      </c>
      <c r="BA6" t="s">
        <v>86</v>
      </c>
      <c r="BB6" t="s">
        <v>86</v>
      </c>
      <c r="BC6" t="s">
        <v>86</v>
      </c>
      <c r="BD6" t="s">
        <v>86</v>
      </c>
      <c r="BE6" t="s">
        <v>86</v>
      </c>
      <c r="BF6" t="s">
        <v>86</v>
      </c>
      <c r="BG6" t="s">
        <v>86</v>
      </c>
      <c r="BH6">
        <f t="shared" si="10"/>
        <v>0</v>
      </c>
      <c r="BI6">
        <f t="shared" si="11"/>
        <v>0</v>
      </c>
      <c r="BJ6" t="s">
        <v>86</v>
      </c>
      <c r="BK6" t="s">
        <v>86</v>
      </c>
      <c r="BL6" t="s">
        <v>86</v>
      </c>
      <c r="BM6" t="s">
        <v>86</v>
      </c>
      <c r="BN6" t="s">
        <v>86</v>
      </c>
      <c r="BO6">
        <f t="shared" si="12"/>
        <v>0</v>
      </c>
      <c r="BP6">
        <f t="shared" si="13"/>
        <v>0</v>
      </c>
      <c r="BQ6" t="str">
        <f t="shared" si="14"/>
        <v>Low</v>
      </c>
      <c r="BR6" t="s">
        <v>86</v>
      </c>
      <c r="BS6" t="s">
        <v>86</v>
      </c>
      <c r="BT6" t="s">
        <v>86</v>
      </c>
      <c r="BU6" t="s">
        <v>87</v>
      </c>
      <c r="BV6" t="s">
        <v>87</v>
      </c>
      <c r="BW6" s="9">
        <v>2020</v>
      </c>
      <c r="BX6" s="10" t="s">
        <v>109</v>
      </c>
      <c r="BY6" s="8"/>
      <c r="BZ6" t="s">
        <v>87</v>
      </c>
    </row>
    <row r="7" spans="1:78" x14ac:dyDescent="0.25">
      <c r="A7" t="s">
        <v>110</v>
      </c>
      <c r="B7">
        <v>28.8061111111111</v>
      </c>
      <c r="C7">
        <v>117.972222222222</v>
      </c>
      <c r="D7" s="8">
        <v>229.5</v>
      </c>
      <c r="E7" s="8" t="str">
        <f t="shared" si="0"/>
        <v>Small</v>
      </c>
      <c r="F7" t="s">
        <v>96</v>
      </c>
      <c r="G7" t="s">
        <v>97</v>
      </c>
      <c r="H7">
        <v>2012</v>
      </c>
      <c r="I7" t="s">
        <v>103</v>
      </c>
      <c r="J7" t="s">
        <v>82</v>
      </c>
      <c r="L7" t="s">
        <v>104</v>
      </c>
      <c r="M7" t="s">
        <v>84</v>
      </c>
      <c r="N7" t="s">
        <v>85</v>
      </c>
      <c r="O7" t="s">
        <v>85</v>
      </c>
      <c r="P7" t="s">
        <v>84</v>
      </c>
      <c r="Q7" t="s">
        <v>85</v>
      </c>
      <c r="R7" t="s">
        <v>85</v>
      </c>
      <c r="S7" s="8">
        <f t="shared" si="1"/>
        <v>2</v>
      </c>
      <c r="T7" s="8">
        <v>0</v>
      </c>
      <c r="U7" s="8">
        <f t="shared" si="2"/>
        <v>33.333333333333329</v>
      </c>
      <c r="V7" t="str">
        <f t="shared" si="3"/>
        <v>Medium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>
        <f t="shared" si="4"/>
        <v>6</v>
      </c>
      <c r="AE7">
        <f t="shared" si="5"/>
        <v>85.714285714285708</v>
      </c>
      <c r="AF7" t="str">
        <f t="shared" ref="AF7:AF36" si="15">IF(AE7 &lt;= 33.3, "Low", IF(AE7 &lt;= 66.7, "Medium", "High"))</f>
        <v>High</v>
      </c>
      <c r="AG7" t="s">
        <v>84</v>
      </c>
      <c r="AH7" t="s">
        <v>84</v>
      </c>
      <c r="AI7" t="s">
        <v>84</v>
      </c>
      <c r="AJ7" t="s">
        <v>84</v>
      </c>
      <c r="AK7" t="s">
        <v>84</v>
      </c>
      <c r="AL7" t="s">
        <v>84</v>
      </c>
      <c r="AM7">
        <f t="shared" si="6"/>
        <v>6</v>
      </c>
      <c r="AN7">
        <f t="shared" si="7"/>
        <v>85.714285714285708</v>
      </c>
      <c r="AO7" t="str">
        <f t="shared" ref="AO7:AO36" si="16">IF(AN7 &lt;= 33.3, "Low", IF(AN7 &lt;= 66.7, "Medium", "High"))</f>
        <v>High</v>
      </c>
      <c r="AP7" t="s">
        <v>85</v>
      </c>
      <c r="AQ7" t="s">
        <v>84</v>
      </c>
      <c r="AR7" t="s">
        <v>84</v>
      </c>
      <c r="AS7" t="s">
        <v>85</v>
      </c>
      <c r="AT7" t="s">
        <v>85</v>
      </c>
      <c r="AU7" t="s">
        <v>84</v>
      </c>
      <c r="AV7" t="s">
        <v>85</v>
      </c>
      <c r="AW7">
        <f t="shared" si="8"/>
        <v>3</v>
      </c>
      <c r="AX7">
        <f t="shared" si="9"/>
        <v>42.857142857142854</v>
      </c>
      <c r="AY7" t="str">
        <f t="shared" ref="AY7:AY36" si="17">IF(AX7 &lt;= 33.3, "Low", IF(AX7 &lt;= 66.7, "Medium", "High"))</f>
        <v>Medium</v>
      </c>
      <c r="AZ7" t="s">
        <v>84</v>
      </c>
      <c r="BA7" t="s">
        <v>85</v>
      </c>
      <c r="BB7" t="s">
        <v>84</v>
      </c>
      <c r="BC7" t="s">
        <v>84</v>
      </c>
      <c r="BD7" t="s">
        <v>84</v>
      </c>
      <c r="BE7" t="s">
        <v>84</v>
      </c>
      <c r="BF7" t="s">
        <v>84</v>
      </c>
      <c r="BG7" t="s">
        <v>85</v>
      </c>
      <c r="BH7">
        <f t="shared" si="10"/>
        <v>6</v>
      </c>
      <c r="BI7">
        <f t="shared" si="11"/>
        <v>85.714285714285708</v>
      </c>
      <c r="BJ7" t="str">
        <f t="shared" ref="BJ7:BJ36" si="18">IF(BI7 &lt;= 33.3, "Low", IF(BI7 &lt;= 66.7, "Medium", "High"))</f>
        <v>High</v>
      </c>
      <c r="BK7" t="s">
        <v>84</v>
      </c>
      <c r="BL7" t="s">
        <v>84</v>
      </c>
      <c r="BM7" t="s">
        <v>84</v>
      </c>
      <c r="BN7" t="s">
        <v>85</v>
      </c>
      <c r="BO7">
        <f t="shared" si="12"/>
        <v>3</v>
      </c>
      <c r="BP7">
        <f t="shared" si="13"/>
        <v>42.857142857142854</v>
      </c>
      <c r="BQ7" t="str">
        <f t="shared" si="14"/>
        <v>Medium</v>
      </c>
      <c r="BR7">
        <f t="shared" ref="BR7:BR36" si="19">((COUNTIF(X7:AC7, "Yes") + COUNTIF(AG7:AL7, "Yes") + COUNTIF(AP7:AV7, "Yes") + COUNTIF(AZ7:BG7, "Yes") + COUNTIF(BK7:BN7, "Yes")) / 31) *100</f>
        <v>77.41935483870968</v>
      </c>
      <c r="BS7">
        <f t="shared" ref="BS7:BS36" si="20">COUNTIF(X7:AC7, "Yes") + COUNTIF(AG7:AL7, "Yes") + COUNTIF(AP7:AV7, "Yes") + COUNTIF(AZ7:BG7, "Yes") + COUNTIF(BK7:BN7, "Yes")</f>
        <v>24</v>
      </c>
      <c r="BT7" t="str">
        <f t="shared" ref="BT7:BT36" si="21">IF(BR7 &lt;= 33, "Low", IF(BR7 &lt;= 66, "Moderate", "High"))</f>
        <v>High</v>
      </c>
      <c r="BU7" t="s">
        <v>105</v>
      </c>
      <c r="BV7" s="13" t="s">
        <v>99</v>
      </c>
      <c r="BW7" s="9">
        <v>2018</v>
      </c>
      <c r="BX7" s="10" t="s">
        <v>100</v>
      </c>
      <c r="BY7" s="8">
        <v>0.1</v>
      </c>
      <c r="BZ7" t="s">
        <v>94</v>
      </c>
    </row>
    <row r="8" spans="1:78" x14ac:dyDescent="0.25">
      <c r="A8" t="s">
        <v>111</v>
      </c>
      <c r="B8">
        <v>49.790277777777703</v>
      </c>
      <c r="C8">
        <v>6.3075000000000001</v>
      </c>
      <c r="D8" s="8">
        <v>256</v>
      </c>
      <c r="E8" s="8" t="str">
        <f t="shared" si="0"/>
        <v>Small</v>
      </c>
      <c r="F8" t="s">
        <v>79</v>
      </c>
      <c r="G8" t="s">
        <v>112</v>
      </c>
      <c r="H8">
        <v>2022</v>
      </c>
      <c r="I8" t="s">
        <v>98</v>
      </c>
      <c r="J8" t="s">
        <v>113</v>
      </c>
      <c r="L8" t="s">
        <v>104</v>
      </c>
      <c r="M8" t="s">
        <v>85</v>
      </c>
      <c r="N8" t="s">
        <v>85</v>
      </c>
      <c r="O8" t="s">
        <v>85</v>
      </c>
      <c r="P8" t="s">
        <v>84</v>
      </c>
      <c r="Q8" t="s">
        <v>84</v>
      </c>
      <c r="R8" t="s">
        <v>85</v>
      </c>
      <c r="S8" s="8">
        <f t="shared" si="1"/>
        <v>2</v>
      </c>
      <c r="T8" s="8">
        <v>0</v>
      </c>
      <c r="U8" s="8">
        <f t="shared" si="2"/>
        <v>33.333333333333329</v>
      </c>
      <c r="V8" t="str">
        <f t="shared" si="3"/>
        <v>Medium</v>
      </c>
      <c r="X8" t="s">
        <v>84</v>
      </c>
      <c r="Y8" t="s">
        <v>84</v>
      </c>
      <c r="Z8" s="12" t="s">
        <v>84</v>
      </c>
      <c r="AA8" s="12" t="s">
        <v>84</v>
      </c>
      <c r="AB8" t="s">
        <v>85</v>
      </c>
      <c r="AC8" s="12" t="s">
        <v>84</v>
      </c>
      <c r="AD8">
        <f t="shared" si="4"/>
        <v>5</v>
      </c>
      <c r="AE8">
        <f t="shared" si="5"/>
        <v>71.428571428571431</v>
      </c>
      <c r="AF8" t="str">
        <f t="shared" si="15"/>
        <v>High</v>
      </c>
      <c r="AG8" s="12" t="s">
        <v>84</v>
      </c>
      <c r="AH8" t="s">
        <v>85</v>
      </c>
      <c r="AI8" t="s">
        <v>85</v>
      </c>
      <c r="AJ8" s="12" t="s">
        <v>84</v>
      </c>
      <c r="AK8" s="12" t="s">
        <v>84</v>
      </c>
      <c r="AL8" s="12" t="s">
        <v>84</v>
      </c>
      <c r="AM8">
        <f t="shared" si="6"/>
        <v>4</v>
      </c>
      <c r="AN8">
        <f t="shared" si="7"/>
        <v>57.142857142857139</v>
      </c>
      <c r="AO8" t="str">
        <f t="shared" si="16"/>
        <v>Medium</v>
      </c>
      <c r="AP8" t="s">
        <v>85</v>
      </c>
      <c r="AQ8" t="s">
        <v>84</v>
      </c>
      <c r="AR8" t="s">
        <v>84</v>
      </c>
      <c r="AS8" t="s">
        <v>85</v>
      </c>
      <c r="AT8" t="s">
        <v>85</v>
      </c>
      <c r="AU8" t="s">
        <v>85</v>
      </c>
      <c r="AV8" t="s">
        <v>85</v>
      </c>
      <c r="AW8">
        <f t="shared" si="8"/>
        <v>2</v>
      </c>
      <c r="AX8">
        <f t="shared" si="9"/>
        <v>28.571428571428569</v>
      </c>
      <c r="AY8" t="str">
        <f t="shared" si="17"/>
        <v>Low</v>
      </c>
      <c r="AZ8" t="s">
        <v>84</v>
      </c>
      <c r="BA8" t="s">
        <v>85</v>
      </c>
      <c r="BB8" t="s">
        <v>84</v>
      </c>
      <c r="BC8" t="s">
        <v>84</v>
      </c>
      <c r="BD8" t="s">
        <v>85</v>
      </c>
      <c r="BE8" t="s">
        <v>85</v>
      </c>
      <c r="BF8" t="s">
        <v>84</v>
      </c>
      <c r="BG8" t="s">
        <v>85</v>
      </c>
      <c r="BH8">
        <f t="shared" si="10"/>
        <v>4</v>
      </c>
      <c r="BI8">
        <f t="shared" si="11"/>
        <v>57.142857142857139</v>
      </c>
      <c r="BJ8" t="str">
        <f t="shared" si="18"/>
        <v>Medium</v>
      </c>
      <c r="BK8" t="s">
        <v>85</v>
      </c>
      <c r="BL8" t="s">
        <v>85</v>
      </c>
      <c r="BM8" t="s">
        <v>85</v>
      </c>
      <c r="BN8" t="s">
        <v>85</v>
      </c>
      <c r="BO8">
        <f t="shared" si="12"/>
        <v>0</v>
      </c>
      <c r="BP8">
        <f t="shared" si="13"/>
        <v>0</v>
      </c>
      <c r="BQ8" t="str">
        <f t="shared" si="14"/>
        <v>Low</v>
      </c>
      <c r="BR8">
        <f t="shared" si="19"/>
        <v>48.387096774193552</v>
      </c>
      <c r="BS8">
        <f t="shared" si="20"/>
        <v>15</v>
      </c>
      <c r="BT8" t="str">
        <f t="shared" si="21"/>
        <v>Moderate</v>
      </c>
      <c r="BU8" t="s">
        <v>105</v>
      </c>
      <c r="BV8" s="13" t="s">
        <v>114</v>
      </c>
      <c r="BX8" s="10" t="s">
        <v>115</v>
      </c>
      <c r="BZ8" t="s">
        <v>101</v>
      </c>
    </row>
    <row r="9" spans="1:78" x14ac:dyDescent="0.25">
      <c r="A9" t="s">
        <v>116</v>
      </c>
      <c r="B9">
        <v>25.0402777777777</v>
      </c>
      <c r="C9">
        <v>113.737777777777</v>
      </c>
      <c r="D9" s="8">
        <v>292</v>
      </c>
      <c r="E9" s="8" t="str">
        <f t="shared" si="0"/>
        <v>Small</v>
      </c>
      <c r="F9" t="s">
        <v>96</v>
      </c>
      <c r="G9" t="s">
        <v>97</v>
      </c>
      <c r="H9">
        <v>2004</v>
      </c>
      <c r="I9" t="s">
        <v>81</v>
      </c>
      <c r="J9" t="s">
        <v>113</v>
      </c>
      <c r="L9" t="s">
        <v>83</v>
      </c>
      <c r="M9" t="s">
        <v>84</v>
      </c>
      <c r="N9" t="s">
        <v>85</v>
      </c>
      <c r="O9" t="s">
        <v>85</v>
      </c>
      <c r="P9" t="s">
        <v>84</v>
      </c>
      <c r="Q9" t="s">
        <v>84</v>
      </c>
      <c r="R9" t="s">
        <v>84</v>
      </c>
      <c r="S9" s="8">
        <f t="shared" si="1"/>
        <v>4</v>
      </c>
      <c r="T9" s="8">
        <v>0</v>
      </c>
      <c r="U9" s="8">
        <f t="shared" si="2"/>
        <v>66.666666666666657</v>
      </c>
      <c r="V9" t="str">
        <f t="shared" si="3"/>
        <v>Medium</v>
      </c>
      <c r="X9" t="s">
        <v>84</v>
      </c>
      <c r="Y9" t="s">
        <v>84</v>
      </c>
      <c r="Z9" t="s">
        <v>84</v>
      </c>
      <c r="AA9" t="s">
        <v>84</v>
      </c>
      <c r="AB9" t="s">
        <v>84</v>
      </c>
      <c r="AC9" t="s">
        <v>84</v>
      </c>
      <c r="AD9">
        <f t="shared" si="4"/>
        <v>6</v>
      </c>
      <c r="AE9">
        <f t="shared" si="5"/>
        <v>85.714285714285708</v>
      </c>
      <c r="AF9" t="str">
        <f t="shared" si="15"/>
        <v>High</v>
      </c>
      <c r="AG9" t="s">
        <v>84</v>
      </c>
      <c r="AH9" t="s">
        <v>84</v>
      </c>
      <c r="AI9" t="s">
        <v>84</v>
      </c>
      <c r="AJ9" t="s">
        <v>84</v>
      </c>
      <c r="AK9" t="s">
        <v>84</v>
      </c>
      <c r="AL9" t="s">
        <v>84</v>
      </c>
      <c r="AM9">
        <f t="shared" si="6"/>
        <v>6</v>
      </c>
      <c r="AN9">
        <f t="shared" si="7"/>
        <v>85.714285714285708</v>
      </c>
      <c r="AO9" t="str">
        <f t="shared" si="16"/>
        <v>High</v>
      </c>
      <c r="AP9" t="s">
        <v>84</v>
      </c>
      <c r="AQ9" t="s">
        <v>84</v>
      </c>
      <c r="AR9" t="s">
        <v>84</v>
      </c>
      <c r="AS9" t="s">
        <v>84</v>
      </c>
      <c r="AT9" t="s">
        <v>84</v>
      </c>
      <c r="AU9" t="s">
        <v>84</v>
      </c>
      <c r="AV9" t="s">
        <v>84</v>
      </c>
      <c r="AW9">
        <f t="shared" si="8"/>
        <v>6</v>
      </c>
      <c r="AX9">
        <f t="shared" si="9"/>
        <v>100</v>
      </c>
      <c r="AY9" t="str">
        <f t="shared" si="17"/>
        <v>High</v>
      </c>
      <c r="AZ9" t="s">
        <v>84</v>
      </c>
      <c r="BA9" t="s">
        <v>84</v>
      </c>
      <c r="BB9" t="s">
        <v>84</v>
      </c>
      <c r="BC9" t="s">
        <v>84</v>
      </c>
      <c r="BD9" t="s">
        <v>84</v>
      </c>
      <c r="BE9" t="s">
        <v>84</v>
      </c>
      <c r="BF9" t="s">
        <v>84</v>
      </c>
      <c r="BG9" t="s">
        <v>84</v>
      </c>
      <c r="BH9">
        <f t="shared" si="10"/>
        <v>8</v>
      </c>
      <c r="BI9">
        <f t="shared" si="11"/>
        <v>114.28571428571428</v>
      </c>
      <c r="BJ9" t="str">
        <f t="shared" si="18"/>
        <v>High</v>
      </c>
      <c r="BK9" t="s">
        <v>84</v>
      </c>
      <c r="BL9" t="s">
        <v>84</v>
      </c>
      <c r="BM9" t="s">
        <v>84</v>
      </c>
      <c r="BN9" t="s">
        <v>84</v>
      </c>
      <c r="BO9">
        <f t="shared" si="12"/>
        <v>4</v>
      </c>
      <c r="BP9">
        <f t="shared" si="13"/>
        <v>57.142857142857139</v>
      </c>
      <c r="BQ9" t="str">
        <f t="shared" si="14"/>
        <v>Medium</v>
      </c>
      <c r="BR9">
        <f t="shared" si="19"/>
        <v>100</v>
      </c>
      <c r="BS9">
        <f t="shared" si="20"/>
        <v>31</v>
      </c>
      <c r="BT9" t="str">
        <f t="shared" si="21"/>
        <v>High</v>
      </c>
      <c r="BU9" t="s">
        <v>105</v>
      </c>
      <c r="BV9" s="13" t="s">
        <v>93</v>
      </c>
      <c r="BW9" s="9">
        <v>2016</v>
      </c>
      <c r="BX9" s="10" t="s">
        <v>100</v>
      </c>
      <c r="BY9" s="8">
        <v>0.15</v>
      </c>
      <c r="BZ9" t="s">
        <v>94</v>
      </c>
    </row>
    <row r="10" spans="1:78" x14ac:dyDescent="0.25">
      <c r="A10" t="s">
        <v>117</v>
      </c>
      <c r="B10">
        <v>46.003500000000003</v>
      </c>
      <c r="C10">
        <v>14.0286111111111</v>
      </c>
      <c r="D10" s="8">
        <v>294</v>
      </c>
      <c r="E10" s="8" t="str">
        <f t="shared" si="0"/>
        <v>Small</v>
      </c>
      <c r="F10" t="s">
        <v>79</v>
      </c>
      <c r="G10" t="s">
        <v>118</v>
      </c>
      <c r="H10">
        <v>2013</v>
      </c>
      <c r="I10" t="s">
        <v>103</v>
      </c>
      <c r="J10" t="s">
        <v>91</v>
      </c>
      <c r="L10" t="s">
        <v>83</v>
      </c>
      <c r="M10" t="s">
        <v>84</v>
      </c>
      <c r="N10" t="s">
        <v>84</v>
      </c>
      <c r="O10" t="s">
        <v>84</v>
      </c>
      <c r="P10" t="s">
        <v>84</v>
      </c>
      <c r="Q10" t="s">
        <v>84</v>
      </c>
      <c r="R10" t="s">
        <v>84</v>
      </c>
      <c r="S10" s="8">
        <f t="shared" si="1"/>
        <v>6</v>
      </c>
      <c r="T10" s="8">
        <v>0</v>
      </c>
      <c r="U10" s="8">
        <f t="shared" si="2"/>
        <v>100</v>
      </c>
      <c r="V10" t="str">
        <f t="shared" si="3"/>
        <v>High</v>
      </c>
      <c r="X10" t="s">
        <v>84</v>
      </c>
      <c r="Y10" t="s">
        <v>84</v>
      </c>
      <c r="Z10" t="s">
        <v>84</v>
      </c>
      <c r="AA10" t="s">
        <v>84</v>
      </c>
      <c r="AB10" t="s">
        <v>85</v>
      </c>
      <c r="AC10" t="s">
        <v>84</v>
      </c>
      <c r="AD10">
        <f t="shared" si="4"/>
        <v>5</v>
      </c>
      <c r="AE10">
        <f t="shared" si="5"/>
        <v>71.428571428571431</v>
      </c>
      <c r="AF10" t="str">
        <f t="shared" si="15"/>
        <v>High</v>
      </c>
      <c r="AG10" t="s">
        <v>85</v>
      </c>
      <c r="AH10" t="s">
        <v>84</v>
      </c>
      <c r="AI10" t="s">
        <v>84</v>
      </c>
      <c r="AJ10" t="s">
        <v>84</v>
      </c>
      <c r="AK10" t="s">
        <v>84</v>
      </c>
      <c r="AL10" t="s">
        <v>84</v>
      </c>
      <c r="AM10">
        <f t="shared" si="6"/>
        <v>5</v>
      </c>
      <c r="AN10">
        <f t="shared" si="7"/>
        <v>71.428571428571431</v>
      </c>
      <c r="AO10" t="str">
        <f t="shared" si="16"/>
        <v>High</v>
      </c>
      <c r="AP10" t="s">
        <v>84</v>
      </c>
      <c r="AQ10" t="s">
        <v>84</v>
      </c>
      <c r="AR10" t="s">
        <v>84</v>
      </c>
      <c r="AS10" t="s">
        <v>84</v>
      </c>
      <c r="AT10" t="s">
        <v>84</v>
      </c>
      <c r="AU10" t="s">
        <v>84</v>
      </c>
      <c r="AV10" t="s">
        <v>84</v>
      </c>
      <c r="AW10">
        <f t="shared" si="8"/>
        <v>6</v>
      </c>
      <c r="AX10">
        <f t="shared" si="9"/>
        <v>100</v>
      </c>
      <c r="AY10" t="str">
        <f t="shared" si="17"/>
        <v>High</v>
      </c>
      <c r="AZ10" t="s">
        <v>84</v>
      </c>
      <c r="BA10" t="s">
        <v>85</v>
      </c>
      <c r="BB10" t="s">
        <v>84</v>
      </c>
      <c r="BC10" t="s">
        <v>84</v>
      </c>
      <c r="BD10" t="s">
        <v>84</v>
      </c>
      <c r="BE10" t="s">
        <v>84</v>
      </c>
      <c r="BF10" t="s">
        <v>84</v>
      </c>
      <c r="BG10" t="s">
        <v>84</v>
      </c>
      <c r="BH10">
        <f t="shared" si="10"/>
        <v>7</v>
      </c>
      <c r="BI10">
        <f t="shared" si="11"/>
        <v>100</v>
      </c>
      <c r="BJ10" t="str">
        <f t="shared" si="18"/>
        <v>High</v>
      </c>
      <c r="BK10" t="s">
        <v>84</v>
      </c>
      <c r="BL10" t="s">
        <v>84</v>
      </c>
      <c r="BM10" t="s">
        <v>84</v>
      </c>
      <c r="BN10" t="s">
        <v>84</v>
      </c>
      <c r="BO10">
        <f t="shared" si="12"/>
        <v>4</v>
      </c>
      <c r="BP10">
        <f t="shared" si="13"/>
        <v>57.142857142857139</v>
      </c>
      <c r="BQ10" t="str">
        <f t="shared" si="14"/>
        <v>Medium</v>
      </c>
      <c r="BR10">
        <f t="shared" si="19"/>
        <v>90.322580645161281</v>
      </c>
      <c r="BS10">
        <f t="shared" si="20"/>
        <v>28</v>
      </c>
      <c r="BT10" t="str">
        <f t="shared" si="21"/>
        <v>High</v>
      </c>
      <c r="BU10" t="s">
        <v>92</v>
      </c>
      <c r="BV10" s="13" t="s">
        <v>93</v>
      </c>
      <c r="BW10" s="9">
        <v>2021</v>
      </c>
      <c r="BX10" s="10" t="s">
        <v>109</v>
      </c>
      <c r="BY10" s="8">
        <v>0.1</v>
      </c>
      <c r="BZ10" t="s">
        <v>94</v>
      </c>
    </row>
    <row r="11" spans="1:78" x14ac:dyDescent="0.25">
      <c r="A11" t="s">
        <v>119</v>
      </c>
      <c r="B11">
        <v>28.351944444444399</v>
      </c>
      <c r="C11">
        <v>121.09444444444399</v>
      </c>
      <c r="D11" s="8">
        <v>298.8</v>
      </c>
      <c r="E11" s="8" t="str">
        <f t="shared" si="0"/>
        <v>Small</v>
      </c>
      <c r="F11" t="s">
        <v>96</v>
      </c>
      <c r="G11" t="s">
        <v>97</v>
      </c>
      <c r="H11">
        <v>2005</v>
      </c>
      <c r="I11" t="s">
        <v>81</v>
      </c>
      <c r="J11" t="s">
        <v>82</v>
      </c>
      <c r="L11" t="s">
        <v>83</v>
      </c>
      <c r="M11" t="s">
        <v>85</v>
      </c>
      <c r="N11" t="s">
        <v>85</v>
      </c>
      <c r="O11" t="s">
        <v>85</v>
      </c>
      <c r="P11" t="s">
        <v>84</v>
      </c>
      <c r="Q11" t="s">
        <v>84</v>
      </c>
      <c r="R11" t="s">
        <v>84</v>
      </c>
      <c r="S11" s="8">
        <f t="shared" si="1"/>
        <v>3</v>
      </c>
      <c r="T11" s="8">
        <v>0</v>
      </c>
      <c r="U11" s="8">
        <f t="shared" si="2"/>
        <v>50</v>
      </c>
      <c r="V11" t="str">
        <f t="shared" si="3"/>
        <v>Medium</v>
      </c>
      <c r="X11" t="s">
        <v>84</v>
      </c>
      <c r="Y11" t="s">
        <v>84</v>
      </c>
      <c r="Z11" t="s">
        <v>84</v>
      </c>
      <c r="AA11" t="s">
        <v>84</v>
      </c>
      <c r="AB11" t="s">
        <v>84</v>
      </c>
      <c r="AC11" t="s">
        <v>84</v>
      </c>
      <c r="AD11">
        <f t="shared" si="4"/>
        <v>6</v>
      </c>
      <c r="AE11">
        <f t="shared" si="5"/>
        <v>85.714285714285708</v>
      </c>
      <c r="AF11" t="str">
        <f t="shared" si="15"/>
        <v>High</v>
      </c>
      <c r="AG11" t="s">
        <v>84</v>
      </c>
      <c r="AH11" t="s">
        <v>84</v>
      </c>
      <c r="AI11" t="s">
        <v>84</v>
      </c>
      <c r="AJ11" t="s">
        <v>84</v>
      </c>
      <c r="AK11" t="s">
        <v>84</v>
      </c>
      <c r="AL11" t="s">
        <v>84</v>
      </c>
      <c r="AM11">
        <f t="shared" si="6"/>
        <v>6</v>
      </c>
      <c r="AN11">
        <f t="shared" si="7"/>
        <v>85.714285714285708</v>
      </c>
      <c r="AO11" t="str">
        <f t="shared" si="16"/>
        <v>High</v>
      </c>
      <c r="AP11" t="s">
        <v>84</v>
      </c>
      <c r="AQ11" t="s">
        <v>84</v>
      </c>
      <c r="AR11" t="s">
        <v>84</v>
      </c>
      <c r="AS11" t="s">
        <v>84</v>
      </c>
      <c r="AT11" t="s">
        <v>84</v>
      </c>
      <c r="AU11" t="s">
        <v>84</v>
      </c>
      <c r="AV11" t="s">
        <v>84</v>
      </c>
      <c r="AW11">
        <f t="shared" si="8"/>
        <v>6</v>
      </c>
      <c r="AX11">
        <f t="shared" si="9"/>
        <v>100</v>
      </c>
      <c r="AY11" t="str">
        <f t="shared" si="17"/>
        <v>High</v>
      </c>
      <c r="AZ11" t="s">
        <v>84</v>
      </c>
      <c r="BA11" t="s">
        <v>84</v>
      </c>
      <c r="BB11" t="s">
        <v>84</v>
      </c>
      <c r="BC11" t="s">
        <v>84</v>
      </c>
      <c r="BD11" t="s">
        <v>84</v>
      </c>
      <c r="BE11" t="s">
        <v>84</v>
      </c>
      <c r="BF11" t="s">
        <v>84</v>
      </c>
      <c r="BG11" t="s">
        <v>84</v>
      </c>
      <c r="BH11">
        <f t="shared" si="10"/>
        <v>8</v>
      </c>
      <c r="BI11">
        <f t="shared" si="11"/>
        <v>114.28571428571428</v>
      </c>
      <c r="BJ11" t="str">
        <f t="shared" si="18"/>
        <v>High</v>
      </c>
      <c r="BK11" t="s">
        <v>84</v>
      </c>
      <c r="BL11" t="s">
        <v>84</v>
      </c>
      <c r="BM11" t="s">
        <v>84</v>
      </c>
      <c r="BN11" t="s">
        <v>84</v>
      </c>
      <c r="BO11">
        <f t="shared" si="12"/>
        <v>4</v>
      </c>
      <c r="BP11">
        <f t="shared" si="13"/>
        <v>57.142857142857139</v>
      </c>
      <c r="BQ11" t="str">
        <f t="shared" si="14"/>
        <v>Medium</v>
      </c>
      <c r="BR11">
        <f t="shared" si="19"/>
        <v>100</v>
      </c>
      <c r="BS11">
        <f t="shared" si="20"/>
        <v>31</v>
      </c>
      <c r="BT11" t="str">
        <f t="shared" si="21"/>
        <v>High</v>
      </c>
      <c r="BU11" t="s">
        <v>105</v>
      </c>
      <c r="BV11" s="13" t="s">
        <v>93</v>
      </c>
      <c r="BW11" s="9">
        <v>2017</v>
      </c>
      <c r="BX11" s="10" t="s">
        <v>100</v>
      </c>
      <c r="BY11" s="8"/>
      <c r="BZ11" t="s">
        <v>87</v>
      </c>
    </row>
    <row r="12" spans="1:78" x14ac:dyDescent="0.25">
      <c r="A12" t="s">
        <v>120</v>
      </c>
      <c r="B12">
        <v>37.247777777777699</v>
      </c>
      <c r="C12">
        <v>-4.3066666666666604</v>
      </c>
      <c r="D12" s="8">
        <v>320</v>
      </c>
      <c r="E12" s="8" t="str">
        <f t="shared" si="0"/>
        <v>Small</v>
      </c>
      <c r="F12" t="s">
        <v>79</v>
      </c>
      <c r="G12" t="s">
        <v>90</v>
      </c>
      <c r="H12">
        <v>2006</v>
      </c>
      <c r="I12" t="s">
        <v>81</v>
      </c>
      <c r="J12" t="s">
        <v>82</v>
      </c>
      <c r="L12" t="s">
        <v>121</v>
      </c>
      <c r="M12" t="s">
        <v>84</v>
      </c>
      <c r="N12" t="s">
        <v>84</v>
      </c>
      <c r="O12" t="s">
        <v>85</v>
      </c>
      <c r="P12" t="s">
        <v>84</v>
      </c>
      <c r="Q12" t="s">
        <v>84</v>
      </c>
      <c r="R12" t="s">
        <v>84</v>
      </c>
      <c r="S12" s="8">
        <f t="shared" si="1"/>
        <v>5</v>
      </c>
      <c r="T12" s="8">
        <v>0</v>
      </c>
      <c r="U12" s="8">
        <f t="shared" si="2"/>
        <v>83.333333333333343</v>
      </c>
      <c r="V12" t="str">
        <f t="shared" si="3"/>
        <v>High</v>
      </c>
      <c r="X12" t="s">
        <v>85</v>
      </c>
      <c r="Y12" t="s">
        <v>84</v>
      </c>
      <c r="Z12" t="s">
        <v>84</v>
      </c>
      <c r="AA12" t="s">
        <v>85</v>
      </c>
      <c r="AB12" t="s">
        <v>85</v>
      </c>
      <c r="AC12" t="s">
        <v>85</v>
      </c>
      <c r="AD12">
        <f t="shared" si="4"/>
        <v>2</v>
      </c>
      <c r="AE12">
        <f t="shared" si="5"/>
        <v>28.571428571428569</v>
      </c>
      <c r="AF12" t="str">
        <f t="shared" si="15"/>
        <v>Low</v>
      </c>
      <c r="AG12" t="s">
        <v>85</v>
      </c>
      <c r="AH12" t="s">
        <v>85</v>
      </c>
      <c r="AI12" t="s">
        <v>84</v>
      </c>
      <c r="AJ12" t="s">
        <v>84</v>
      </c>
      <c r="AK12" t="s">
        <v>84</v>
      </c>
      <c r="AL12" t="s">
        <v>84</v>
      </c>
      <c r="AM12">
        <f t="shared" si="6"/>
        <v>4</v>
      </c>
      <c r="AN12">
        <f t="shared" si="7"/>
        <v>57.142857142857139</v>
      </c>
      <c r="AO12" t="str">
        <f t="shared" si="16"/>
        <v>Medium</v>
      </c>
      <c r="AP12" t="s">
        <v>85</v>
      </c>
      <c r="AQ12" t="s">
        <v>85</v>
      </c>
      <c r="AR12" t="s">
        <v>84</v>
      </c>
      <c r="AS12" t="s">
        <v>84</v>
      </c>
      <c r="AT12" t="s">
        <v>85</v>
      </c>
      <c r="AU12" t="s">
        <v>85</v>
      </c>
      <c r="AV12" t="s">
        <v>85</v>
      </c>
      <c r="AW12">
        <f t="shared" si="8"/>
        <v>2</v>
      </c>
      <c r="AX12">
        <f t="shared" si="9"/>
        <v>28.571428571428569</v>
      </c>
      <c r="AY12" t="str">
        <f t="shared" si="17"/>
        <v>Low</v>
      </c>
      <c r="AZ12" t="s">
        <v>85</v>
      </c>
      <c r="BA12" t="s">
        <v>84</v>
      </c>
      <c r="BB12" t="s">
        <v>84</v>
      </c>
      <c r="BC12" t="s">
        <v>84</v>
      </c>
      <c r="BD12" t="s">
        <v>84</v>
      </c>
      <c r="BE12" t="s">
        <v>85</v>
      </c>
      <c r="BF12" t="s">
        <v>85</v>
      </c>
      <c r="BG12" t="s">
        <v>84</v>
      </c>
      <c r="BH12">
        <f t="shared" si="10"/>
        <v>5</v>
      </c>
      <c r="BI12">
        <f t="shared" si="11"/>
        <v>71.428571428571431</v>
      </c>
      <c r="BJ12" t="str">
        <f t="shared" si="18"/>
        <v>High</v>
      </c>
      <c r="BK12" t="s">
        <v>84</v>
      </c>
      <c r="BL12" t="s">
        <v>84</v>
      </c>
      <c r="BM12" t="s">
        <v>85</v>
      </c>
      <c r="BN12" t="s">
        <v>85</v>
      </c>
      <c r="BO12">
        <f t="shared" si="12"/>
        <v>2</v>
      </c>
      <c r="BP12">
        <f t="shared" si="13"/>
        <v>28.571428571428569</v>
      </c>
      <c r="BQ12" t="str">
        <f t="shared" si="14"/>
        <v>Low</v>
      </c>
      <c r="BR12">
        <f t="shared" si="19"/>
        <v>48.387096774193552</v>
      </c>
      <c r="BS12">
        <f t="shared" si="20"/>
        <v>15</v>
      </c>
      <c r="BT12" t="str">
        <f t="shared" si="21"/>
        <v>Moderate</v>
      </c>
      <c r="BU12" t="s">
        <v>92</v>
      </c>
      <c r="BV12" s="13" t="s">
        <v>99</v>
      </c>
      <c r="BW12" s="9">
        <v>2023</v>
      </c>
      <c r="BX12" s="10" t="s">
        <v>88</v>
      </c>
      <c r="BZ12" t="s">
        <v>101</v>
      </c>
    </row>
    <row r="13" spans="1:78" x14ac:dyDescent="0.25">
      <c r="A13" t="s">
        <v>122</v>
      </c>
      <c r="B13">
        <v>24.7555555555555</v>
      </c>
      <c r="C13">
        <v>103.27972222222201</v>
      </c>
      <c r="D13" s="8">
        <v>350</v>
      </c>
      <c r="E13" s="8" t="str">
        <f t="shared" si="0"/>
        <v>Small</v>
      </c>
      <c r="F13" t="s">
        <v>96</v>
      </c>
      <c r="G13" t="s">
        <v>97</v>
      </c>
      <c r="H13">
        <v>2004</v>
      </c>
      <c r="I13" t="s">
        <v>81</v>
      </c>
      <c r="J13" t="s">
        <v>82</v>
      </c>
      <c r="L13" t="s">
        <v>83</v>
      </c>
      <c r="M13" t="s">
        <v>84</v>
      </c>
      <c r="N13" t="s">
        <v>85</v>
      </c>
      <c r="O13" t="s">
        <v>84</v>
      </c>
      <c r="P13" t="s">
        <v>84</v>
      </c>
      <c r="Q13" t="s">
        <v>84</v>
      </c>
      <c r="R13" s="12" t="s">
        <v>84</v>
      </c>
      <c r="S13" s="8">
        <f t="shared" si="1"/>
        <v>5</v>
      </c>
      <c r="T13" s="8">
        <v>0</v>
      </c>
      <c r="U13" s="8">
        <f t="shared" si="2"/>
        <v>83.333333333333343</v>
      </c>
      <c r="V13" t="str">
        <f t="shared" si="3"/>
        <v>High</v>
      </c>
      <c r="X13" t="s">
        <v>84</v>
      </c>
      <c r="Y13" t="s">
        <v>84</v>
      </c>
      <c r="Z13" t="s">
        <v>84</v>
      </c>
      <c r="AA13" t="s">
        <v>84</v>
      </c>
      <c r="AB13" t="s">
        <v>84</v>
      </c>
      <c r="AC13" t="s">
        <v>84</v>
      </c>
      <c r="AD13">
        <f t="shared" si="4"/>
        <v>6</v>
      </c>
      <c r="AE13">
        <f t="shared" si="5"/>
        <v>85.714285714285708</v>
      </c>
      <c r="AF13" t="str">
        <f t="shared" si="15"/>
        <v>High</v>
      </c>
      <c r="AG13" t="s">
        <v>84</v>
      </c>
      <c r="AH13" t="s">
        <v>84</v>
      </c>
      <c r="AI13" t="s">
        <v>84</v>
      </c>
      <c r="AJ13" t="s">
        <v>84</v>
      </c>
      <c r="AK13" t="s">
        <v>84</v>
      </c>
      <c r="AL13" t="s">
        <v>84</v>
      </c>
      <c r="AM13">
        <f t="shared" si="6"/>
        <v>6</v>
      </c>
      <c r="AN13">
        <f t="shared" si="7"/>
        <v>85.714285714285708</v>
      </c>
      <c r="AO13" t="str">
        <f t="shared" si="16"/>
        <v>High</v>
      </c>
      <c r="AP13" t="s">
        <v>84</v>
      </c>
      <c r="AQ13" t="s">
        <v>84</v>
      </c>
      <c r="AR13" t="s">
        <v>84</v>
      </c>
      <c r="AS13" t="s">
        <v>84</v>
      </c>
      <c r="AT13" t="s">
        <v>84</v>
      </c>
      <c r="AU13" t="s">
        <v>84</v>
      </c>
      <c r="AV13" t="s">
        <v>84</v>
      </c>
      <c r="AW13">
        <f t="shared" si="8"/>
        <v>6</v>
      </c>
      <c r="AX13">
        <f t="shared" si="9"/>
        <v>100</v>
      </c>
      <c r="AY13" t="str">
        <f t="shared" si="17"/>
        <v>High</v>
      </c>
      <c r="AZ13" t="s">
        <v>84</v>
      </c>
      <c r="BA13" t="s">
        <v>84</v>
      </c>
      <c r="BB13" t="s">
        <v>84</v>
      </c>
      <c r="BC13" t="s">
        <v>84</v>
      </c>
      <c r="BD13" t="s">
        <v>84</v>
      </c>
      <c r="BE13" t="s">
        <v>84</v>
      </c>
      <c r="BF13" t="s">
        <v>84</v>
      </c>
      <c r="BG13" t="s">
        <v>84</v>
      </c>
      <c r="BH13">
        <f t="shared" si="10"/>
        <v>8</v>
      </c>
      <c r="BI13">
        <f t="shared" si="11"/>
        <v>114.28571428571428</v>
      </c>
      <c r="BJ13" t="str">
        <f t="shared" si="18"/>
        <v>High</v>
      </c>
      <c r="BK13" t="s">
        <v>84</v>
      </c>
      <c r="BL13" t="s">
        <v>84</v>
      </c>
      <c r="BM13" t="s">
        <v>84</v>
      </c>
      <c r="BN13" t="s">
        <v>84</v>
      </c>
      <c r="BO13">
        <f t="shared" si="12"/>
        <v>4</v>
      </c>
      <c r="BP13">
        <f t="shared" si="13"/>
        <v>57.142857142857139</v>
      </c>
      <c r="BQ13" t="str">
        <f t="shared" si="14"/>
        <v>Medium</v>
      </c>
      <c r="BR13">
        <f t="shared" si="19"/>
        <v>100</v>
      </c>
      <c r="BS13">
        <f t="shared" si="20"/>
        <v>31</v>
      </c>
      <c r="BT13" t="str">
        <f t="shared" si="21"/>
        <v>High</v>
      </c>
      <c r="BU13" t="s">
        <v>105</v>
      </c>
      <c r="BV13" s="13" t="s">
        <v>93</v>
      </c>
      <c r="BW13" s="9">
        <v>2016</v>
      </c>
      <c r="BX13" s="10" t="s">
        <v>100</v>
      </c>
      <c r="BZ13" t="s">
        <v>101</v>
      </c>
    </row>
    <row r="14" spans="1:78" x14ac:dyDescent="0.25">
      <c r="A14" t="s">
        <v>123</v>
      </c>
      <c r="B14">
        <v>55.83</v>
      </c>
      <c r="C14">
        <v>11.58</v>
      </c>
      <c r="D14" s="8">
        <v>355</v>
      </c>
      <c r="E14" s="8" t="str">
        <f t="shared" si="0"/>
        <v>Small</v>
      </c>
      <c r="F14" t="s">
        <v>79</v>
      </c>
      <c r="G14" t="s">
        <v>124</v>
      </c>
      <c r="H14">
        <v>2014</v>
      </c>
      <c r="I14" t="s">
        <v>103</v>
      </c>
      <c r="J14" t="s">
        <v>91</v>
      </c>
      <c r="L14" t="s">
        <v>121</v>
      </c>
      <c r="M14" t="s">
        <v>85</v>
      </c>
      <c r="N14" t="s">
        <v>85</v>
      </c>
      <c r="O14" t="s">
        <v>84</v>
      </c>
      <c r="P14" t="s">
        <v>84</v>
      </c>
      <c r="Q14" t="s">
        <v>85</v>
      </c>
      <c r="R14" t="s">
        <v>84</v>
      </c>
      <c r="S14" s="8">
        <f t="shared" si="1"/>
        <v>3</v>
      </c>
      <c r="T14" s="8">
        <v>0</v>
      </c>
      <c r="U14" s="8">
        <f t="shared" si="2"/>
        <v>50</v>
      </c>
      <c r="V14" t="str">
        <f t="shared" si="3"/>
        <v>Medium</v>
      </c>
      <c r="X14" t="s">
        <v>85</v>
      </c>
      <c r="Y14" t="s">
        <v>85</v>
      </c>
      <c r="Z14" t="s">
        <v>84</v>
      </c>
      <c r="AA14" t="s">
        <v>84</v>
      </c>
      <c r="AB14" t="s">
        <v>85</v>
      </c>
      <c r="AC14" t="s">
        <v>85</v>
      </c>
      <c r="AD14">
        <f t="shared" si="4"/>
        <v>2</v>
      </c>
      <c r="AE14">
        <f t="shared" si="5"/>
        <v>28.571428571428569</v>
      </c>
      <c r="AF14" t="str">
        <f t="shared" si="15"/>
        <v>Low</v>
      </c>
      <c r="AG14" t="s">
        <v>85</v>
      </c>
      <c r="AH14" t="s">
        <v>85</v>
      </c>
      <c r="AI14" t="s">
        <v>85</v>
      </c>
      <c r="AJ14" t="s">
        <v>85</v>
      </c>
      <c r="AK14" t="s">
        <v>84</v>
      </c>
      <c r="AL14" t="s">
        <v>84</v>
      </c>
      <c r="AM14">
        <f t="shared" si="6"/>
        <v>2</v>
      </c>
      <c r="AN14">
        <f t="shared" si="7"/>
        <v>28.571428571428569</v>
      </c>
      <c r="AO14" t="str">
        <f t="shared" si="16"/>
        <v>Low</v>
      </c>
      <c r="AP14" t="s">
        <v>85</v>
      </c>
      <c r="AQ14" t="s">
        <v>84</v>
      </c>
      <c r="AR14" t="s">
        <v>85</v>
      </c>
      <c r="AS14" t="s">
        <v>84</v>
      </c>
      <c r="AT14" t="s">
        <v>85</v>
      </c>
      <c r="AU14" t="s">
        <v>85</v>
      </c>
      <c r="AV14" t="s">
        <v>84</v>
      </c>
      <c r="AW14">
        <f t="shared" si="8"/>
        <v>2</v>
      </c>
      <c r="AX14">
        <f t="shared" si="9"/>
        <v>42.857142857142854</v>
      </c>
      <c r="AY14" t="str">
        <f t="shared" si="17"/>
        <v>Medium</v>
      </c>
      <c r="AZ14" t="s">
        <v>85</v>
      </c>
      <c r="BA14" t="s">
        <v>85</v>
      </c>
      <c r="BB14" t="s">
        <v>84</v>
      </c>
      <c r="BC14" t="s">
        <v>84</v>
      </c>
      <c r="BD14" t="s">
        <v>84</v>
      </c>
      <c r="BE14" t="s">
        <v>85</v>
      </c>
      <c r="BF14" t="s">
        <v>85</v>
      </c>
      <c r="BG14" t="s">
        <v>85</v>
      </c>
      <c r="BH14">
        <f t="shared" si="10"/>
        <v>3</v>
      </c>
      <c r="BI14">
        <f t="shared" si="11"/>
        <v>42.857142857142854</v>
      </c>
      <c r="BJ14" t="str">
        <f t="shared" si="18"/>
        <v>Medium</v>
      </c>
      <c r="BK14" t="s">
        <v>84</v>
      </c>
      <c r="BL14" t="s">
        <v>85</v>
      </c>
      <c r="BM14" t="s">
        <v>84</v>
      </c>
      <c r="BN14" t="s">
        <v>84</v>
      </c>
      <c r="BO14">
        <f t="shared" si="12"/>
        <v>3</v>
      </c>
      <c r="BP14">
        <f t="shared" si="13"/>
        <v>42.857142857142854</v>
      </c>
      <c r="BQ14" t="str">
        <f t="shared" si="14"/>
        <v>Medium</v>
      </c>
      <c r="BR14">
        <f t="shared" si="19"/>
        <v>41.935483870967744</v>
      </c>
      <c r="BS14">
        <f t="shared" si="20"/>
        <v>13</v>
      </c>
      <c r="BT14" t="str">
        <f t="shared" si="21"/>
        <v>Moderate</v>
      </c>
      <c r="BU14" t="s">
        <v>92</v>
      </c>
      <c r="BV14" s="13" t="s">
        <v>99</v>
      </c>
      <c r="BW14" s="9">
        <v>2022</v>
      </c>
      <c r="BX14" s="10" t="s">
        <v>88</v>
      </c>
      <c r="BZ14" t="s">
        <v>101</v>
      </c>
    </row>
    <row r="15" spans="1:78" x14ac:dyDescent="0.25">
      <c r="A15" t="s">
        <v>125</v>
      </c>
      <c r="B15">
        <v>29.313888888888801</v>
      </c>
      <c r="C15">
        <v>110.44</v>
      </c>
      <c r="D15" s="14">
        <v>398</v>
      </c>
      <c r="E15" s="8" t="str">
        <f t="shared" si="0"/>
        <v>Small</v>
      </c>
      <c r="F15" t="s">
        <v>96</v>
      </c>
      <c r="G15" t="s">
        <v>97</v>
      </c>
      <c r="H15">
        <v>2004</v>
      </c>
      <c r="I15" t="s">
        <v>81</v>
      </c>
      <c r="J15" t="s">
        <v>10</v>
      </c>
      <c r="K15" t="s">
        <v>126</v>
      </c>
      <c r="L15" t="s">
        <v>121</v>
      </c>
      <c r="M15" t="s">
        <v>84</v>
      </c>
      <c r="N15" t="s">
        <v>84</v>
      </c>
      <c r="O15" t="s">
        <v>85</v>
      </c>
      <c r="P15" t="s">
        <v>84</v>
      </c>
      <c r="Q15" t="s">
        <v>84</v>
      </c>
      <c r="R15" t="s">
        <v>84</v>
      </c>
      <c r="S15" s="8">
        <f t="shared" si="1"/>
        <v>5</v>
      </c>
      <c r="T15" s="8">
        <v>0</v>
      </c>
      <c r="U15" s="8">
        <f t="shared" si="2"/>
        <v>83.333333333333343</v>
      </c>
      <c r="V15" t="str">
        <f t="shared" si="3"/>
        <v>High</v>
      </c>
      <c r="X15" t="s">
        <v>84</v>
      </c>
      <c r="Y15" t="s">
        <v>84</v>
      </c>
      <c r="Z15" t="s">
        <v>84</v>
      </c>
      <c r="AA15" t="s">
        <v>84</v>
      </c>
      <c r="AB15" t="s">
        <v>84</v>
      </c>
      <c r="AC15" t="s">
        <v>84</v>
      </c>
      <c r="AD15">
        <f t="shared" si="4"/>
        <v>6</v>
      </c>
      <c r="AE15">
        <f t="shared" si="5"/>
        <v>85.714285714285708</v>
      </c>
      <c r="AF15" t="str">
        <f t="shared" si="15"/>
        <v>High</v>
      </c>
      <c r="AG15" t="s">
        <v>84</v>
      </c>
      <c r="AH15" t="s">
        <v>84</v>
      </c>
      <c r="AI15" t="s">
        <v>84</v>
      </c>
      <c r="AJ15" t="s">
        <v>84</v>
      </c>
      <c r="AK15" t="s">
        <v>84</v>
      </c>
      <c r="AL15" t="s">
        <v>84</v>
      </c>
      <c r="AM15">
        <f t="shared" si="6"/>
        <v>6</v>
      </c>
      <c r="AN15">
        <f t="shared" si="7"/>
        <v>85.714285714285708</v>
      </c>
      <c r="AO15" t="str">
        <f t="shared" si="16"/>
        <v>High</v>
      </c>
      <c r="AP15" t="s">
        <v>84</v>
      </c>
      <c r="AQ15" t="s">
        <v>85</v>
      </c>
      <c r="AR15" s="12" t="s">
        <v>84</v>
      </c>
      <c r="AS15" t="s">
        <v>84</v>
      </c>
      <c r="AT15" t="s">
        <v>84</v>
      </c>
      <c r="AU15" t="s">
        <v>84</v>
      </c>
      <c r="AV15" t="s">
        <v>85</v>
      </c>
      <c r="AW15">
        <f t="shared" si="8"/>
        <v>5</v>
      </c>
      <c r="AX15">
        <f t="shared" si="9"/>
        <v>71.428571428571431</v>
      </c>
      <c r="AY15" t="str">
        <f t="shared" si="17"/>
        <v>High</v>
      </c>
      <c r="AZ15" t="s">
        <v>84</v>
      </c>
      <c r="BA15" s="12" t="s">
        <v>84</v>
      </c>
      <c r="BB15" t="s">
        <v>84</v>
      </c>
      <c r="BC15" t="s">
        <v>84</v>
      </c>
      <c r="BD15" t="s">
        <v>84</v>
      </c>
      <c r="BE15" t="s">
        <v>84</v>
      </c>
      <c r="BF15" t="s">
        <v>84</v>
      </c>
      <c r="BG15" s="12" t="s">
        <v>84</v>
      </c>
      <c r="BH15">
        <f t="shared" si="10"/>
        <v>8</v>
      </c>
      <c r="BI15">
        <f t="shared" si="11"/>
        <v>114.28571428571428</v>
      </c>
      <c r="BJ15" t="str">
        <f t="shared" si="18"/>
        <v>High</v>
      </c>
      <c r="BK15" t="s">
        <v>84</v>
      </c>
      <c r="BL15" t="s">
        <v>84</v>
      </c>
      <c r="BM15" t="s">
        <v>84</v>
      </c>
      <c r="BN15" t="s">
        <v>84</v>
      </c>
      <c r="BO15">
        <f t="shared" si="12"/>
        <v>4</v>
      </c>
      <c r="BP15">
        <f t="shared" si="13"/>
        <v>57.142857142857139</v>
      </c>
      <c r="BQ15" t="str">
        <f t="shared" si="14"/>
        <v>Medium</v>
      </c>
      <c r="BR15">
        <f t="shared" si="19"/>
        <v>93.548387096774192</v>
      </c>
      <c r="BS15">
        <f t="shared" si="20"/>
        <v>29</v>
      </c>
      <c r="BT15" t="str">
        <f t="shared" si="21"/>
        <v>High</v>
      </c>
      <c r="BU15" t="s">
        <v>105</v>
      </c>
      <c r="BV15" s="13" t="s">
        <v>88</v>
      </c>
      <c r="BW15" s="9">
        <v>2018</v>
      </c>
      <c r="BX15" s="10" t="s">
        <v>100</v>
      </c>
      <c r="BZ15" t="s">
        <v>101</v>
      </c>
    </row>
    <row r="16" spans="1:78" x14ac:dyDescent="0.25">
      <c r="A16" t="s">
        <v>127</v>
      </c>
      <c r="B16">
        <v>30.588055555555499</v>
      </c>
      <c r="C16">
        <v>116.267777777777</v>
      </c>
      <c r="D16" s="8">
        <v>413.14</v>
      </c>
      <c r="E16" s="8" t="str">
        <f t="shared" si="0"/>
        <v>Small</v>
      </c>
      <c r="F16" t="s">
        <v>96</v>
      </c>
      <c r="G16" t="s">
        <v>97</v>
      </c>
      <c r="H16">
        <v>2011</v>
      </c>
      <c r="I16" t="s">
        <v>103</v>
      </c>
      <c r="J16" t="s">
        <v>82</v>
      </c>
      <c r="L16" t="s">
        <v>128</v>
      </c>
      <c r="M16" t="s">
        <v>84</v>
      </c>
      <c r="N16" t="s">
        <v>84</v>
      </c>
      <c r="O16" t="s">
        <v>84</v>
      </c>
      <c r="P16" t="s">
        <v>84</v>
      </c>
      <c r="Q16" t="s">
        <v>84</v>
      </c>
      <c r="R16" t="s">
        <v>84</v>
      </c>
      <c r="S16" s="8">
        <f t="shared" si="1"/>
        <v>6</v>
      </c>
      <c r="T16" s="8">
        <v>0</v>
      </c>
      <c r="U16" s="8">
        <f t="shared" si="2"/>
        <v>100</v>
      </c>
      <c r="V16" t="str">
        <f t="shared" si="3"/>
        <v>High</v>
      </c>
      <c r="X16" t="s">
        <v>84</v>
      </c>
      <c r="Y16" t="s">
        <v>84</v>
      </c>
      <c r="Z16" t="s">
        <v>84</v>
      </c>
      <c r="AA16" t="s">
        <v>84</v>
      </c>
      <c r="AB16" t="s">
        <v>84</v>
      </c>
      <c r="AC16" t="s">
        <v>84</v>
      </c>
      <c r="AD16">
        <f t="shared" si="4"/>
        <v>6</v>
      </c>
      <c r="AE16">
        <f t="shared" si="5"/>
        <v>85.714285714285708</v>
      </c>
      <c r="AF16" t="str">
        <f t="shared" si="15"/>
        <v>High</v>
      </c>
      <c r="AG16" t="s">
        <v>84</v>
      </c>
      <c r="AH16" t="s">
        <v>84</v>
      </c>
      <c r="AI16" t="s">
        <v>84</v>
      </c>
      <c r="AJ16" t="s">
        <v>84</v>
      </c>
      <c r="AK16" t="s">
        <v>84</v>
      </c>
      <c r="AL16" t="s">
        <v>84</v>
      </c>
      <c r="AM16">
        <f t="shared" si="6"/>
        <v>6</v>
      </c>
      <c r="AN16">
        <f t="shared" si="7"/>
        <v>85.714285714285708</v>
      </c>
      <c r="AO16" t="str">
        <f t="shared" si="16"/>
        <v>High</v>
      </c>
      <c r="AP16" t="s">
        <v>84</v>
      </c>
      <c r="AQ16" t="s">
        <v>84</v>
      </c>
      <c r="AR16" t="s">
        <v>84</v>
      </c>
      <c r="AS16" t="s">
        <v>84</v>
      </c>
      <c r="AT16" t="s">
        <v>84</v>
      </c>
      <c r="AU16" t="s">
        <v>84</v>
      </c>
      <c r="AV16" t="s">
        <v>84</v>
      </c>
      <c r="AW16">
        <f t="shared" si="8"/>
        <v>6</v>
      </c>
      <c r="AX16">
        <f t="shared" si="9"/>
        <v>100</v>
      </c>
      <c r="AY16" t="str">
        <f t="shared" si="17"/>
        <v>High</v>
      </c>
      <c r="AZ16" t="s">
        <v>84</v>
      </c>
      <c r="BA16" t="s">
        <v>84</v>
      </c>
      <c r="BB16" t="s">
        <v>84</v>
      </c>
      <c r="BC16" t="s">
        <v>84</v>
      </c>
      <c r="BD16" t="s">
        <v>84</v>
      </c>
      <c r="BE16" t="s">
        <v>84</v>
      </c>
      <c r="BF16" t="s">
        <v>84</v>
      </c>
      <c r="BG16" t="s">
        <v>84</v>
      </c>
      <c r="BH16">
        <f t="shared" si="10"/>
        <v>8</v>
      </c>
      <c r="BI16">
        <f t="shared" si="11"/>
        <v>114.28571428571428</v>
      </c>
      <c r="BJ16" t="str">
        <f t="shared" si="18"/>
        <v>High</v>
      </c>
      <c r="BK16" t="s">
        <v>84</v>
      </c>
      <c r="BL16" t="s">
        <v>84</v>
      </c>
      <c r="BM16" t="s">
        <v>84</v>
      </c>
      <c r="BN16" t="s">
        <v>84</v>
      </c>
      <c r="BO16">
        <f t="shared" si="12"/>
        <v>4</v>
      </c>
      <c r="BP16">
        <f t="shared" si="13"/>
        <v>57.142857142857139</v>
      </c>
      <c r="BQ16" t="str">
        <f t="shared" si="14"/>
        <v>Medium</v>
      </c>
      <c r="BR16">
        <f t="shared" si="19"/>
        <v>100</v>
      </c>
      <c r="BS16">
        <f t="shared" si="20"/>
        <v>31</v>
      </c>
      <c r="BT16" t="str">
        <f t="shared" si="21"/>
        <v>High</v>
      </c>
      <c r="BU16" t="s">
        <v>105</v>
      </c>
      <c r="BV16" s="13" t="s">
        <v>93</v>
      </c>
      <c r="BW16" s="9">
        <v>2023</v>
      </c>
      <c r="BX16" s="10" t="s">
        <v>88</v>
      </c>
      <c r="BY16" s="8">
        <v>0.1</v>
      </c>
      <c r="BZ16" t="s">
        <v>94</v>
      </c>
    </row>
    <row r="17" spans="1:78" x14ac:dyDescent="0.25">
      <c r="A17" t="s">
        <v>129</v>
      </c>
      <c r="B17">
        <v>17.518055555555499</v>
      </c>
      <c r="C17">
        <v>-97.342222222222205</v>
      </c>
      <c r="D17" s="8">
        <v>415.4</v>
      </c>
      <c r="E17" s="8" t="str">
        <f t="shared" si="0"/>
        <v>Small</v>
      </c>
      <c r="F17" t="s">
        <v>130</v>
      </c>
      <c r="G17" t="s">
        <v>131</v>
      </c>
      <c r="H17">
        <v>2017</v>
      </c>
      <c r="I17" t="s">
        <v>98</v>
      </c>
      <c r="J17" t="s">
        <v>10</v>
      </c>
      <c r="K17" t="s">
        <v>132</v>
      </c>
      <c r="L17" t="s">
        <v>83</v>
      </c>
      <c r="M17" t="s">
        <v>84</v>
      </c>
      <c r="N17" t="s">
        <v>85</v>
      </c>
      <c r="O17" t="s">
        <v>85</v>
      </c>
      <c r="P17" t="s">
        <v>85</v>
      </c>
      <c r="Q17" t="s">
        <v>85</v>
      </c>
      <c r="R17" t="s">
        <v>84</v>
      </c>
      <c r="S17" s="8">
        <f t="shared" si="1"/>
        <v>2</v>
      </c>
      <c r="T17" s="8">
        <v>0</v>
      </c>
      <c r="U17" s="8">
        <f t="shared" si="2"/>
        <v>33.333333333333329</v>
      </c>
      <c r="V17" t="str">
        <f t="shared" si="3"/>
        <v>Medium</v>
      </c>
      <c r="X17" t="s">
        <v>84</v>
      </c>
      <c r="Y17" t="s">
        <v>84</v>
      </c>
      <c r="Z17" t="s">
        <v>84</v>
      </c>
      <c r="AA17" t="s">
        <v>84</v>
      </c>
      <c r="AB17" t="s">
        <v>84</v>
      </c>
      <c r="AC17" t="s">
        <v>85</v>
      </c>
      <c r="AD17">
        <f t="shared" si="4"/>
        <v>5</v>
      </c>
      <c r="AE17">
        <f t="shared" si="5"/>
        <v>71.428571428571431</v>
      </c>
      <c r="AF17" t="str">
        <f t="shared" si="15"/>
        <v>High</v>
      </c>
      <c r="AG17" t="s">
        <v>85</v>
      </c>
      <c r="AH17" t="s">
        <v>85</v>
      </c>
      <c r="AI17" t="s">
        <v>85</v>
      </c>
      <c r="AJ17" t="s">
        <v>85</v>
      </c>
      <c r="AK17" t="s">
        <v>85</v>
      </c>
      <c r="AL17" t="s">
        <v>85</v>
      </c>
      <c r="AM17">
        <f t="shared" si="6"/>
        <v>0</v>
      </c>
      <c r="AN17">
        <f t="shared" si="7"/>
        <v>0</v>
      </c>
      <c r="AO17" t="str">
        <f t="shared" si="16"/>
        <v>Low</v>
      </c>
      <c r="AP17" t="s">
        <v>84</v>
      </c>
      <c r="AQ17" t="s">
        <v>84</v>
      </c>
      <c r="AR17" t="s">
        <v>84</v>
      </c>
      <c r="AS17" t="s">
        <v>84</v>
      </c>
      <c r="AT17" t="s">
        <v>85</v>
      </c>
      <c r="AU17" t="s">
        <v>85</v>
      </c>
      <c r="AV17" t="s">
        <v>85</v>
      </c>
      <c r="AW17">
        <f t="shared" si="8"/>
        <v>4</v>
      </c>
      <c r="AX17">
        <f t="shared" si="9"/>
        <v>57.142857142857139</v>
      </c>
      <c r="AY17" t="str">
        <f t="shared" si="17"/>
        <v>Medium</v>
      </c>
      <c r="AZ17" t="s">
        <v>84</v>
      </c>
      <c r="BA17" t="s">
        <v>85</v>
      </c>
      <c r="BB17" t="s">
        <v>85</v>
      </c>
      <c r="BC17" t="s">
        <v>85</v>
      </c>
      <c r="BD17" t="s">
        <v>84</v>
      </c>
      <c r="BE17" t="s">
        <v>85</v>
      </c>
      <c r="BF17" t="s">
        <v>84</v>
      </c>
      <c r="BG17" t="s">
        <v>85</v>
      </c>
      <c r="BH17">
        <f t="shared" si="10"/>
        <v>3</v>
      </c>
      <c r="BI17">
        <f t="shared" si="11"/>
        <v>42.857142857142854</v>
      </c>
      <c r="BJ17" t="str">
        <f t="shared" si="18"/>
        <v>Medium</v>
      </c>
      <c r="BK17" t="s">
        <v>84</v>
      </c>
      <c r="BL17" t="s">
        <v>84</v>
      </c>
      <c r="BM17" t="s">
        <v>84</v>
      </c>
      <c r="BN17" t="s">
        <v>84</v>
      </c>
      <c r="BO17">
        <f t="shared" si="12"/>
        <v>4</v>
      </c>
      <c r="BP17">
        <f t="shared" si="13"/>
        <v>57.142857142857139</v>
      </c>
      <c r="BQ17" t="str">
        <f t="shared" si="14"/>
        <v>Medium</v>
      </c>
      <c r="BR17">
        <f t="shared" si="19"/>
        <v>51.612903225806448</v>
      </c>
      <c r="BS17">
        <f t="shared" si="20"/>
        <v>16</v>
      </c>
      <c r="BT17" t="str">
        <f>IF(BR17 &lt;= 33, "Low", IF(BR17 &lt;= 66, "Moderate", "High"))</f>
        <v>Moderate</v>
      </c>
      <c r="BU17" t="s">
        <v>92</v>
      </c>
      <c r="BV17" s="13" t="s">
        <v>99</v>
      </c>
      <c r="BW17" s="9">
        <v>2022</v>
      </c>
      <c r="BX17" s="10" t="s">
        <v>88</v>
      </c>
      <c r="BY17" s="8">
        <v>0.25</v>
      </c>
      <c r="BZ17" t="s">
        <v>94</v>
      </c>
    </row>
    <row r="18" spans="1:78" x14ac:dyDescent="0.25">
      <c r="A18" t="s">
        <v>133</v>
      </c>
      <c r="B18">
        <v>29.35</v>
      </c>
      <c r="C18">
        <v>115.833333333333</v>
      </c>
      <c r="D18" s="8">
        <v>500</v>
      </c>
      <c r="E18" s="8" t="str">
        <f t="shared" si="0"/>
        <v>Small</v>
      </c>
      <c r="F18" t="s">
        <v>96</v>
      </c>
      <c r="G18" t="s">
        <v>97</v>
      </c>
      <c r="H18">
        <v>2004</v>
      </c>
      <c r="I18" t="s">
        <v>81</v>
      </c>
      <c r="J18" t="s">
        <v>82</v>
      </c>
      <c r="L18" t="s">
        <v>121</v>
      </c>
      <c r="M18" t="s">
        <v>85</v>
      </c>
      <c r="N18" t="s">
        <v>84</v>
      </c>
      <c r="O18" t="s">
        <v>85</v>
      </c>
      <c r="P18" t="s">
        <v>85</v>
      </c>
      <c r="Q18" t="s">
        <v>84</v>
      </c>
      <c r="R18" t="s">
        <v>85</v>
      </c>
      <c r="S18" s="8">
        <f t="shared" si="1"/>
        <v>2</v>
      </c>
      <c r="T18" s="8">
        <v>0</v>
      </c>
      <c r="U18" s="8">
        <f t="shared" si="2"/>
        <v>33.333333333333329</v>
      </c>
      <c r="V18" t="str">
        <f t="shared" si="3"/>
        <v>Medium</v>
      </c>
      <c r="X18" t="s">
        <v>85</v>
      </c>
      <c r="Y18" t="s">
        <v>85</v>
      </c>
      <c r="Z18" t="s">
        <v>85</v>
      </c>
      <c r="AA18" t="s">
        <v>85</v>
      </c>
      <c r="AB18" t="s">
        <v>85</v>
      </c>
      <c r="AC18" t="s">
        <v>85</v>
      </c>
      <c r="AD18">
        <f t="shared" si="4"/>
        <v>0</v>
      </c>
      <c r="AE18">
        <f t="shared" si="5"/>
        <v>0</v>
      </c>
      <c r="AF18" t="str">
        <f t="shared" si="15"/>
        <v>Low</v>
      </c>
      <c r="AG18" t="s">
        <v>85</v>
      </c>
      <c r="AH18" t="s">
        <v>85</v>
      </c>
      <c r="AI18" t="s">
        <v>85</v>
      </c>
      <c r="AJ18" t="s">
        <v>85</v>
      </c>
      <c r="AK18" t="s">
        <v>85</v>
      </c>
      <c r="AL18" t="s">
        <v>85</v>
      </c>
      <c r="AM18">
        <f t="shared" si="6"/>
        <v>0</v>
      </c>
      <c r="AN18">
        <f t="shared" si="7"/>
        <v>0</v>
      </c>
      <c r="AO18" t="str">
        <f t="shared" si="16"/>
        <v>Low</v>
      </c>
      <c r="AP18" t="s">
        <v>85</v>
      </c>
      <c r="AQ18" t="s">
        <v>85</v>
      </c>
      <c r="AR18" t="s">
        <v>85</v>
      </c>
      <c r="AS18" t="s">
        <v>85</v>
      </c>
      <c r="AT18" t="s">
        <v>85</v>
      </c>
      <c r="AU18" t="s">
        <v>85</v>
      </c>
      <c r="AV18" t="s">
        <v>85</v>
      </c>
      <c r="AW18">
        <f t="shared" si="8"/>
        <v>0</v>
      </c>
      <c r="AX18">
        <f t="shared" si="9"/>
        <v>0</v>
      </c>
      <c r="AY18" t="str">
        <f t="shared" si="17"/>
        <v>Low</v>
      </c>
      <c r="AZ18" t="s">
        <v>85</v>
      </c>
      <c r="BA18" t="s">
        <v>85</v>
      </c>
      <c r="BB18" t="s">
        <v>85</v>
      </c>
      <c r="BC18" t="s">
        <v>85</v>
      </c>
      <c r="BD18" t="s">
        <v>85</v>
      </c>
      <c r="BE18" t="s">
        <v>85</v>
      </c>
      <c r="BF18" t="s">
        <v>85</v>
      </c>
      <c r="BG18" t="s">
        <v>85</v>
      </c>
      <c r="BH18">
        <f t="shared" si="10"/>
        <v>0</v>
      </c>
      <c r="BI18">
        <f t="shared" si="11"/>
        <v>0</v>
      </c>
      <c r="BJ18" t="str">
        <f t="shared" si="18"/>
        <v>Low</v>
      </c>
      <c r="BK18" t="s">
        <v>85</v>
      </c>
      <c r="BL18" t="s">
        <v>85</v>
      </c>
      <c r="BM18" t="s">
        <v>85</v>
      </c>
      <c r="BN18" t="s">
        <v>85</v>
      </c>
      <c r="BO18">
        <f t="shared" si="12"/>
        <v>0</v>
      </c>
      <c r="BP18">
        <f t="shared" si="13"/>
        <v>0</v>
      </c>
      <c r="BQ18" t="str">
        <f t="shared" si="14"/>
        <v>Low</v>
      </c>
      <c r="BR18">
        <f t="shared" si="19"/>
        <v>0</v>
      </c>
      <c r="BS18">
        <f t="shared" si="20"/>
        <v>0</v>
      </c>
      <c r="BT18" t="str">
        <f t="shared" si="21"/>
        <v>Low</v>
      </c>
      <c r="BU18" t="s">
        <v>87</v>
      </c>
      <c r="BV18" t="s">
        <v>87</v>
      </c>
      <c r="BW18" s="9">
        <v>2018</v>
      </c>
      <c r="BX18" s="10" t="s">
        <v>100</v>
      </c>
      <c r="BY18" s="8"/>
      <c r="BZ18" t="s">
        <v>87</v>
      </c>
    </row>
    <row r="19" spans="1:78" x14ac:dyDescent="0.25">
      <c r="A19" t="s">
        <v>134</v>
      </c>
      <c r="B19">
        <v>35.166944444444397</v>
      </c>
      <c r="C19">
        <v>26.1166666666666</v>
      </c>
      <c r="D19" s="8">
        <v>517</v>
      </c>
      <c r="E19" s="8" t="str">
        <f t="shared" si="0"/>
        <v>Small</v>
      </c>
      <c r="F19" t="s">
        <v>79</v>
      </c>
      <c r="G19" t="s">
        <v>135</v>
      </c>
      <c r="H19">
        <v>2015</v>
      </c>
      <c r="I19" t="s">
        <v>98</v>
      </c>
      <c r="J19" t="s">
        <v>91</v>
      </c>
      <c r="L19" t="s">
        <v>83</v>
      </c>
      <c r="M19" t="s">
        <v>85</v>
      </c>
      <c r="N19" t="s">
        <v>85</v>
      </c>
      <c r="O19" t="s">
        <v>85</v>
      </c>
      <c r="P19" t="s">
        <v>85</v>
      </c>
      <c r="Q19" t="s">
        <v>84</v>
      </c>
      <c r="R19" t="s">
        <v>84</v>
      </c>
      <c r="S19" s="8">
        <f t="shared" si="1"/>
        <v>2</v>
      </c>
      <c r="T19" s="8">
        <v>0</v>
      </c>
      <c r="U19" s="8">
        <f t="shared" si="2"/>
        <v>33.333333333333329</v>
      </c>
      <c r="V19" t="str">
        <f t="shared" si="3"/>
        <v>Medium</v>
      </c>
      <c r="X19" t="s">
        <v>84</v>
      </c>
      <c r="Y19" t="s">
        <v>84</v>
      </c>
      <c r="Z19" t="s">
        <v>84</v>
      </c>
      <c r="AA19" t="s">
        <v>84</v>
      </c>
      <c r="AB19" t="s">
        <v>84</v>
      </c>
      <c r="AC19" t="s">
        <v>84</v>
      </c>
      <c r="AD19">
        <f t="shared" si="4"/>
        <v>6</v>
      </c>
      <c r="AE19">
        <f t="shared" si="5"/>
        <v>85.714285714285708</v>
      </c>
      <c r="AF19" t="str">
        <f t="shared" si="15"/>
        <v>High</v>
      </c>
      <c r="AG19" t="s">
        <v>84</v>
      </c>
      <c r="AH19" t="s">
        <v>84</v>
      </c>
      <c r="AI19" t="s">
        <v>85</v>
      </c>
      <c r="AJ19" t="s">
        <v>84</v>
      </c>
      <c r="AK19" t="s">
        <v>84</v>
      </c>
      <c r="AL19" t="s">
        <v>85</v>
      </c>
      <c r="AM19">
        <f t="shared" si="6"/>
        <v>4</v>
      </c>
      <c r="AN19">
        <f t="shared" si="7"/>
        <v>57.142857142857139</v>
      </c>
      <c r="AO19" t="str">
        <f t="shared" si="16"/>
        <v>Medium</v>
      </c>
      <c r="AP19" t="s">
        <v>84</v>
      </c>
      <c r="AQ19" t="s">
        <v>84</v>
      </c>
      <c r="AR19" t="s">
        <v>84</v>
      </c>
      <c r="AS19" t="s">
        <v>84</v>
      </c>
      <c r="AT19" t="s">
        <v>84</v>
      </c>
      <c r="AU19" t="s">
        <v>84</v>
      </c>
      <c r="AV19" t="s">
        <v>84</v>
      </c>
      <c r="AW19">
        <f t="shared" si="8"/>
        <v>6</v>
      </c>
      <c r="AX19">
        <f t="shared" si="9"/>
        <v>100</v>
      </c>
      <c r="AY19" t="str">
        <f t="shared" si="17"/>
        <v>High</v>
      </c>
      <c r="AZ19" t="s">
        <v>84</v>
      </c>
      <c r="BA19" t="s">
        <v>85</v>
      </c>
      <c r="BB19" t="s">
        <v>85</v>
      </c>
      <c r="BC19" t="s">
        <v>85</v>
      </c>
      <c r="BD19" t="s">
        <v>84</v>
      </c>
      <c r="BE19" t="s">
        <v>84</v>
      </c>
      <c r="BF19" t="s">
        <v>85</v>
      </c>
      <c r="BG19" t="s">
        <v>85</v>
      </c>
      <c r="BH19">
        <f t="shared" si="10"/>
        <v>3</v>
      </c>
      <c r="BI19">
        <f t="shared" si="11"/>
        <v>42.857142857142854</v>
      </c>
      <c r="BJ19" t="str">
        <f t="shared" si="18"/>
        <v>Medium</v>
      </c>
      <c r="BK19" t="s">
        <v>85</v>
      </c>
      <c r="BL19" t="s">
        <v>85</v>
      </c>
      <c r="BM19" t="s">
        <v>84</v>
      </c>
      <c r="BN19" t="s">
        <v>84</v>
      </c>
      <c r="BO19">
        <f t="shared" si="12"/>
        <v>2</v>
      </c>
      <c r="BP19">
        <f t="shared" si="13"/>
        <v>28.571428571428569</v>
      </c>
      <c r="BQ19" t="str">
        <f t="shared" si="14"/>
        <v>Low</v>
      </c>
      <c r="BR19">
        <f t="shared" si="19"/>
        <v>70.967741935483872</v>
      </c>
      <c r="BS19">
        <f t="shared" si="20"/>
        <v>22</v>
      </c>
      <c r="BT19" t="str">
        <f t="shared" si="21"/>
        <v>High</v>
      </c>
      <c r="BU19" t="s">
        <v>105</v>
      </c>
      <c r="BV19" s="13" t="s">
        <v>93</v>
      </c>
      <c r="BW19" s="9">
        <v>2019</v>
      </c>
      <c r="BX19" s="10" t="s">
        <v>100</v>
      </c>
      <c r="BY19" s="8">
        <v>0.25</v>
      </c>
      <c r="BZ19" t="s">
        <v>94</v>
      </c>
    </row>
    <row r="20" spans="1:78" x14ac:dyDescent="0.25">
      <c r="A20" t="s">
        <v>136</v>
      </c>
      <c r="B20">
        <v>52.996388888888802</v>
      </c>
      <c r="C20">
        <v>-9.3891666666666609</v>
      </c>
      <c r="D20" s="8">
        <v>530</v>
      </c>
      <c r="E20" s="8" t="str">
        <f t="shared" si="0"/>
        <v>Small</v>
      </c>
      <c r="F20" t="s">
        <v>79</v>
      </c>
      <c r="G20" t="s">
        <v>80</v>
      </c>
      <c r="H20">
        <v>2011</v>
      </c>
      <c r="I20" t="s">
        <v>103</v>
      </c>
      <c r="J20" t="s">
        <v>91</v>
      </c>
      <c r="L20" t="s">
        <v>121</v>
      </c>
      <c r="M20" t="s">
        <v>85</v>
      </c>
      <c r="N20" t="s">
        <v>85</v>
      </c>
      <c r="O20" t="s">
        <v>85</v>
      </c>
      <c r="P20" t="s">
        <v>84</v>
      </c>
      <c r="Q20" t="s">
        <v>84</v>
      </c>
      <c r="R20" t="s">
        <v>84</v>
      </c>
      <c r="S20" s="8">
        <f t="shared" si="1"/>
        <v>3</v>
      </c>
      <c r="T20" s="8">
        <v>0</v>
      </c>
      <c r="U20" s="8">
        <f t="shared" si="2"/>
        <v>50</v>
      </c>
      <c r="V20" t="str">
        <f t="shared" si="3"/>
        <v>Medium</v>
      </c>
      <c r="X20" t="s">
        <v>85</v>
      </c>
      <c r="Y20" t="s">
        <v>84</v>
      </c>
      <c r="Z20" t="s">
        <v>84</v>
      </c>
      <c r="AA20" t="s">
        <v>85</v>
      </c>
      <c r="AB20" t="s">
        <v>85</v>
      </c>
      <c r="AC20" t="s">
        <v>84</v>
      </c>
      <c r="AD20">
        <f t="shared" si="4"/>
        <v>3</v>
      </c>
      <c r="AE20">
        <f t="shared" si="5"/>
        <v>42.857142857142854</v>
      </c>
      <c r="AF20" t="str">
        <f t="shared" si="15"/>
        <v>Medium</v>
      </c>
      <c r="AG20" t="s">
        <v>84</v>
      </c>
      <c r="AH20" t="s">
        <v>85</v>
      </c>
      <c r="AI20" t="s">
        <v>84</v>
      </c>
      <c r="AJ20" t="s">
        <v>85</v>
      </c>
      <c r="AK20" t="s">
        <v>84</v>
      </c>
      <c r="AL20" t="s">
        <v>84</v>
      </c>
      <c r="AM20">
        <f t="shared" si="6"/>
        <v>4</v>
      </c>
      <c r="AN20">
        <f t="shared" si="7"/>
        <v>57.142857142857139</v>
      </c>
      <c r="AO20" t="str">
        <f t="shared" si="16"/>
        <v>Medium</v>
      </c>
      <c r="AP20" t="s">
        <v>84</v>
      </c>
      <c r="AQ20" t="s">
        <v>85</v>
      </c>
      <c r="AR20" t="s">
        <v>84</v>
      </c>
      <c r="AS20" t="s">
        <v>85</v>
      </c>
      <c r="AT20" t="s">
        <v>85</v>
      </c>
      <c r="AU20" t="s">
        <v>84</v>
      </c>
      <c r="AV20" t="s">
        <v>84</v>
      </c>
      <c r="AW20">
        <f t="shared" si="8"/>
        <v>3</v>
      </c>
      <c r="AX20">
        <f t="shared" si="9"/>
        <v>57.142857142857139</v>
      </c>
      <c r="AY20" t="str">
        <f t="shared" si="17"/>
        <v>Medium</v>
      </c>
      <c r="AZ20" t="s">
        <v>84</v>
      </c>
      <c r="BA20" t="s">
        <v>85</v>
      </c>
      <c r="BB20" t="s">
        <v>85</v>
      </c>
      <c r="BC20" t="s">
        <v>85</v>
      </c>
      <c r="BD20" t="s">
        <v>84</v>
      </c>
      <c r="BE20" t="s">
        <v>85</v>
      </c>
      <c r="BF20" t="s">
        <v>84</v>
      </c>
      <c r="BG20" t="s">
        <v>85</v>
      </c>
      <c r="BH20">
        <f t="shared" si="10"/>
        <v>3</v>
      </c>
      <c r="BI20">
        <f t="shared" si="11"/>
        <v>42.857142857142854</v>
      </c>
      <c r="BJ20" t="str">
        <f t="shared" si="18"/>
        <v>Medium</v>
      </c>
      <c r="BK20" t="s">
        <v>84</v>
      </c>
      <c r="BL20" t="s">
        <v>84</v>
      </c>
      <c r="BM20" t="s">
        <v>84</v>
      </c>
      <c r="BN20" t="s">
        <v>84</v>
      </c>
      <c r="BO20">
        <f t="shared" si="12"/>
        <v>4</v>
      </c>
      <c r="BP20">
        <f t="shared" si="13"/>
        <v>57.142857142857139</v>
      </c>
      <c r="BQ20" t="str">
        <f t="shared" si="14"/>
        <v>Medium</v>
      </c>
      <c r="BR20">
        <f t="shared" si="19"/>
        <v>58.064516129032263</v>
      </c>
      <c r="BS20">
        <f t="shared" si="20"/>
        <v>18</v>
      </c>
      <c r="BT20" t="str">
        <f t="shared" si="21"/>
        <v>Moderate</v>
      </c>
      <c r="BU20" t="s">
        <v>92</v>
      </c>
      <c r="BV20" s="13" t="s">
        <v>99</v>
      </c>
      <c r="BW20" s="9">
        <v>2023</v>
      </c>
      <c r="BX20" s="10" t="s">
        <v>88</v>
      </c>
      <c r="BZ20" t="s">
        <v>101</v>
      </c>
    </row>
    <row r="21" spans="1:78" x14ac:dyDescent="0.25">
      <c r="A21" t="s">
        <v>137</v>
      </c>
      <c r="B21">
        <v>48.521666666666597</v>
      </c>
      <c r="C21">
        <v>-64.216944444444394</v>
      </c>
      <c r="D21" s="8">
        <v>555</v>
      </c>
      <c r="E21" s="8" t="str">
        <f t="shared" si="0"/>
        <v>Small</v>
      </c>
      <c r="F21" t="s">
        <v>138</v>
      </c>
      <c r="G21" t="s">
        <v>139</v>
      </c>
      <c r="H21">
        <v>2018</v>
      </c>
      <c r="I21" t="s">
        <v>98</v>
      </c>
      <c r="J21" t="s">
        <v>82</v>
      </c>
      <c r="L21" t="s">
        <v>83</v>
      </c>
      <c r="M21" t="s">
        <v>84</v>
      </c>
      <c r="N21" s="12" t="s">
        <v>84</v>
      </c>
      <c r="O21" t="s">
        <v>84</v>
      </c>
      <c r="P21" t="s">
        <v>84</v>
      </c>
      <c r="Q21" t="s">
        <v>84</v>
      </c>
      <c r="R21" t="s">
        <v>84</v>
      </c>
      <c r="S21" s="8">
        <f t="shared" si="1"/>
        <v>6</v>
      </c>
      <c r="T21" s="8">
        <v>0</v>
      </c>
      <c r="U21" s="8">
        <f t="shared" si="2"/>
        <v>100</v>
      </c>
      <c r="V21" t="str">
        <f t="shared" si="3"/>
        <v>High</v>
      </c>
      <c r="X21" t="s">
        <v>84</v>
      </c>
      <c r="Y21" t="s">
        <v>84</v>
      </c>
      <c r="Z21" t="s">
        <v>84</v>
      </c>
      <c r="AA21" t="s">
        <v>85</v>
      </c>
      <c r="AB21" t="s">
        <v>85</v>
      </c>
      <c r="AC21" t="s">
        <v>85</v>
      </c>
      <c r="AD21">
        <f t="shared" si="4"/>
        <v>3</v>
      </c>
      <c r="AE21">
        <f t="shared" si="5"/>
        <v>42.857142857142854</v>
      </c>
      <c r="AF21" t="str">
        <f t="shared" si="15"/>
        <v>Medium</v>
      </c>
      <c r="AG21" t="s">
        <v>84</v>
      </c>
      <c r="AH21" t="s">
        <v>84</v>
      </c>
      <c r="AI21" t="s">
        <v>84</v>
      </c>
      <c r="AJ21" t="s">
        <v>84</v>
      </c>
      <c r="AK21" t="s">
        <v>84</v>
      </c>
      <c r="AL21" t="s">
        <v>84</v>
      </c>
      <c r="AM21">
        <f t="shared" si="6"/>
        <v>6</v>
      </c>
      <c r="AN21">
        <f t="shared" si="7"/>
        <v>85.714285714285708</v>
      </c>
      <c r="AO21" t="str">
        <f t="shared" si="16"/>
        <v>High</v>
      </c>
      <c r="AP21" t="s">
        <v>84</v>
      </c>
      <c r="AQ21" t="s">
        <v>84</v>
      </c>
      <c r="AR21" t="s">
        <v>84</v>
      </c>
      <c r="AS21" t="s">
        <v>84</v>
      </c>
      <c r="AT21" t="s">
        <v>84</v>
      </c>
      <c r="AU21" t="s">
        <v>84</v>
      </c>
      <c r="AV21" t="s">
        <v>84</v>
      </c>
      <c r="AW21">
        <f t="shared" si="8"/>
        <v>6</v>
      </c>
      <c r="AX21">
        <f t="shared" si="9"/>
        <v>100</v>
      </c>
      <c r="AY21" t="str">
        <f t="shared" si="17"/>
        <v>High</v>
      </c>
      <c r="AZ21" t="s">
        <v>84</v>
      </c>
      <c r="BA21" t="s">
        <v>84</v>
      </c>
      <c r="BB21" t="s">
        <v>84</v>
      </c>
      <c r="BC21" t="s">
        <v>84</v>
      </c>
      <c r="BD21" t="s">
        <v>84</v>
      </c>
      <c r="BE21" s="12" t="s">
        <v>84</v>
      </c>
      <c r="BF21" t="s">
        <v>84</v>
      </c>
      <c r="BG21" t="s">
        <v>85</v>
      </c>
      <c r="BH21">
        <f t="shared" si="10"/>
        <v>7</v>
      </c>
      <c r="BI21">
        <f t="shared" si="11"/>
        <v>100</v>
      </c>
      <c r="BJ21" t="str">
        <f t="shared" si="18"/>
        <v>High</v>
      </c>
      <c r="BK21" t="s">
        <v>85</v>
      </c>
      <c r="BL21" t="s">
        <v>85</v>
      </c>
      <c r="BM21" t="s">
        <v>84</v>
      </c>
      <c r="BN21" t="s">
        <v>84</v>
      </c>
      <c r="BO21">
        <f t="shared" si="12"/>
        <v>2</v>
      </c>
      <c r="BP21">
        <f t="shared" si="13"/>
        <v>28.571428571428569</v>
      </c>
      <c r="BQ21" t="str">
        <f t="shared" si="14"/>
        <v>Low</v>
      </c>
      <c r="BR21">
        <f t="shared" si="19"/>
        <v>80.645161290322577</v>
      </c>
      <c r="BS21">
        <f t="shared" si="20"/>
        <v>25</v>
      </c>
      <c r="BT21" t="str">
        <f t="shared" si="21"/>
        <v>High</v>
      </c>
      <c r="BU21" t="s">
        <v>92</v>
      </c>
      <c r="BV21" s="13" t="s">
        <v>114</v>
      </c>
      <c r="BW21" s="9">
        <v>2022</v>
      </c>
      <c r="BX21" s="10" t="s">
        <v>88</v>
      </c>
      <c r="BY21" s="8">
        <v>0.05</v>
      </c>
      <c r="BZ21" t="s">
        <v>94</v>
      </c>
    </row>
    <row r="22" spans="1:78" x14ac:dyDescent="0.25">
      <c r="A22" t="s">
        <v>140</v>
      </c>
      <c r="B22">
        <v>51.570277777777697</v>
      </c>
      <c r="C22">
        <v>14.726388888888801</v>
      </c>
      <c r="D22" s="8">
        <v>578.79999999999995</v>
      </c>
      <c r="E22" s="8" t="str">
        <f t="shared" si="0"/>
        <v>Small</v>
      </c>
      <c r="F22" t="s">
        <v>79</v>
      </c>
      <c r="G22" t="s">
        <v>141</v>
      </c>
      <c r="H22">
        <v>2011</v>
      </c>
      <c r="I22" t="s">
        <v>103</v>
      </c>
      <c r="J22" t="s">
        <v>91</v>
      </c>
      <c r="L22" t="s">
        <v>104</v>
      </c>
      <c r="M22" t="s">
        <v>84</v>
      </c>
      <c r="N22" t="s">
        <v>85</v>
      </c>
      <c r="O22" t="s">
        <v>85</v>
      </c>
      <c r="P22" t="s">
        <v>84</v>
      </c>
      <c r="Q22" t="s">
        <v>84</v>
      </c>
      <c r="R22" t="s">
        <v>84</v>
      </c>
      <c r="S22" s="8">
        <f t="shared" si="1"/>
        <v>4</v>
      </c>
      <c r="T22" s="8">
        <v>0</v>
      </c>
      <c r="U22" s="8">
        <f t="shared" si="2"/>
        <v>66.666666666666657</v>
      </c>
      <c r="V22" t="str">
        <f t="shared" si="3"/>
        <v>Medium</v>
      </c>
      <c r="X22" t="s">
        <v>84</v>
      </c>
      <c r="Y22" t="s">
        <v>85</v>
      </c>
      <c r="Z22" t="s">
        <v>85</v>
      </c>
      <c r="AA22" t="s">
        <v>84</v>
      </c>
      <c r="AB22" t="s">
        <v>85</v>
      </c>
      <c r="AC22" t="s">
        <v>85</v>
      </c>
      <c r="AD22">
        <f t="shared" si="4"/>
        <v>2</v>
      </c>
      <c r="AE22">
        <f t="shared" si="5"/>
        <v>28.571428571428569</v>
      </c>
      <c r="AF22" t="str">
        <f t="shared" si="15"/>
        <v>Low</v>
      </c>
      <c r="AG22" t="s">
        <v>85</v>
      </c>
      <c r="AH22" t="s">
        <v>85</v>
      </c>
      <c r="AI22" t="s">
        <v>85</v>
      </c>
      <c r="AJ22" t="s">
        <v>85</v>
      </c>
      <c r="AK22" t="s">
        <v>85</v>
      </c>
      <c r="AL22" t="s">
        <v>85</v>
      </c>
      <c r="AM22">
        <f t="shared" si="6"/>
        <v>0</v>
      </c>
      <c r="AN22">
        <f t="shared" si="7"/>
        <v>0</v>
      </c>
      <c r="AO22" t="str">
        <f t="shared" si="16"/>
        <v>Low</v>
      </c>
      <c r="AP22" t="s">
        <v>85</v>
      </c>
      <c r="AQ22" t="s">
        <v>84</v>
      </c>
      <c r="AR22" t="s">
        <v>84</v>
      </c>
      <c r="AS22" t="s">
        <v>85</v>
      </c>
      <c r="AT22" t="s">
        <v>84</v>
      </c>
      <c r="AU22" t="s">
        <v>85</v>
      </c>
      <c r="AV22" t="s">
        <v>85</v>
      </c>
      <c r="AW22">
        <f t="shared" si="8"/>
        <v>3</v>
      </c>
      <c r="AX22">
        <f t="shared" si="9"/>
        <v>42.857142857142854</v>
      </c>
      <c r="AY22" t="str">
        <f t="shared" si="17"/>
        <v>Medium</v>
      </c>
      <c r="AZ22" t="s">
        <v>84</v>
      </c>
      <c r="BA22" t="s">
        <v>85</v>
      </c>
      <c r="BB22" t="s">
        <v>84</v>
      </c>
      <c r="BC22" t="s">
        <v>84</v>
      </c>
      <c r="BD22" t="s">
        <v>85</v>
      </c>
      <c r="BE22" t="s">
        <v>85</v>
      </c>
      <c r="BF22" t="s">
        <v>85</v>
      </c>
      <c r="BG22" t="s">
        <v>85</v>
      </c>
      <c r="BH22">
        <f t="shared" si="10"/>
        <v>3</v>
      </c>
      <c r="BI22">
        <f t="shared" si="11"/>
        <v>42.857142857142854</v>
      </c>
      <c r="BJ22" t="str">
        <f t="shared" si="18"/>
        <v>Medium</v>
      </c>
      <c r="BK22" t="s">
        <v>85</v>
      </c>
      <c r="BL22" t="s">
        <v>85</v>
      </c>
      <c r="BM22" t="s">
        <v>85</v>
      </c>
      <c r="BN22" t="s">
        <v>84</v>
      </c>
      <c r="BO22">
        <f t="shared" si="12"/>
        <v>1</v>
      </c>
      <c r="BP22">
        <f t="shared" si="13"/>
        <v>14.285714285714285</v>
      </c>
      <c r="BQ22" t="str">
        <f t="shared" si="14"/>
        <v>Low</v>
      </c>
      <c r="BR22">
        <f t="shared" si="19"/>
        <v>29.032258064516132</v>
      </c>
      <c r="BS22">
        <f t="shared" si="20"/>
        <v>9</v>
      </c>
      <c r="BT22" t="str">
        <f t="shared" si="21"/>
        <v>Low</v>
      </c>
      <c r="BU22" t="s">
        <v>92</v>
      </c>
      <c r="BV22" s="13" t="s">
        <v>114</v>
      </c>
      <c r="BW22" s="9">
        <v>2023</v>
      </c>
      <c r="BX22" s="10" t="s">
        <v>88</v>
      </c>
      <c r="BZ22" t="s">
        <v>101</v>
      </c>
    </row>
    <row r="23" spans="1:78" x14ac:dyDescent="0.25">
      <c r="A23" t="s">
        <v>142</v>
      </c>
      <c r="B23">
        <v>38.856944444444402</v>
      </c>
      <c r="C23">
        <v>105.72972222222199</v>
      </c>
      <c r="D23" s="8">
        <v>630.37</v>
      </c>
      <c r="E23" s="8" t="str">
        <f t="shared" si="0"/>
        <v>Small</v>
      </c>
      <c r="F23" t="s">
        <v>96</v>
      </c>
      <c r="G23" t="s">
        <v>97</v>
      </c>
      <c r="H23">
        <v>2009</v>
      </c>
      <c r="I23" t="s">
        <v>81</v>
      </c>
      <c r="J23" t="s">
        <v>91</v>
      </c>
      <c r="L23" t="s">
        <v>104</v>
      </c>
      <c r="M23" t="s">
        <v>84</v>
      </c>
      <c r="N23" t="s">
        <v>85</v>
      </c>
      <c r="O23" t="s">
        <v>85</v>
      </c>
      <c r="P23" t="s">
        <v>84</v>
      </c>
      <c r="Q23" t="s">
        <v>84</v>
      </c>
      <c r="R23" t="s">
        <v>84</v>
      </c>
      <c r="S23" s="8">
        <f t="shared" si="1"/>
        <v>4</v>
      </c>
      <c r="T23" s="8">
        <v>0</v>
      </c>
      <c r="U23" s="8">
        <f t="shared" si="2"/>
        <v>66.666666666666657</v>
      </c>
      <c r="V23" t="str">
        <f t="shared" si="3"/>
        <v>Medium</v>
      </c>
      <c r="X23" t="s">
        <v>84</v>
      </c>
      <c r="Y23" t="s">
        <v>84</v>
      </c>
      <c r="Z23" t="s">
        <v>84</v>
      </c>
      <c r="AA23" t="s">
        <v>84</v>
      </c>
      <c r="AB23" t="s">
        <v>84</v>
      </c>
      <c r="AC23" t="s">
        <v>84</v>
      </c>
      <c r="AD23">
        <f t="shared" si="4"/>
        <v>6</v>
      </c>
      <c r="AE23">
        <f t="shared" si="5"/>
        <v>85.714285714285708</v>
      </c>
      <c r="AF23" t="str">
        <f t="shared" si="15"/>
        <v>High</v>
      </c>
      <c r="AG23" t="s">
        <v>85</v>
      </c>
      <c r="AH23" t="s">
        <v>85</v>
      </c>
      <c r="AI23" t="s">
        <v>84</v>
      </c>
      <c r="AJ23" t="s">
        <v>84</v>
      </c>
      <c r="AK23" t="s">
        <v>85</v>
      </c>
      <c r="AL23" t="s">
        <v>84</v>
      </c>
      <c r="AM23">
        <f t="shared" si="6"/>
        <v>3</v>
      </c>
      <c r="AN23">
        <f t="shared" si="7"/>
        <v>42.857142857142854</v>
      </c>
      <c r="AO23" t="str">
        <f t="shared" si="16"/>
        <v>Medium</v>
      </c>
      <c r="AP23" t="s">
        <v>84</v>
      </c>
      <c r="AQ23" t="s">
        <v>84</v>
      </c>
      <c r="AR23" t="s">
        <v>84</v>
      </c>
      <c r="AS23" t="s">
        <v>85</v>
      </c>
      <c r="AT23" t="s">
        <v>85</v>
      </c>
      <c r="AU23" t="s">
        <v>84</v>
      </c>
      <c r="AV23" t="s">
        <v>85</v>
      </c>
      <c r="AW23">
        <f t="shared" si="8"/>
        <v>4</v>
      </c>
      <c r="AX23">
        <f t="shared" si="9"/>
        <v>57.142857142857139</v>
      </c>
      <c r="AY23" t="str">
        <f t="shared" si="17"/>
        <v>Medium</v>
      </c>
      <c r="AZ23" t="s">
        <v>84</v>
      </c>
      <c r="BA23" t="s">
        <v>84</v>
      </c>
      <c r="BB23" t="s">
        <v>84</v>
      </c>
      <c r="BC23" t="s">
        <v>84</v>
      </c>
      <c r="BD23" t="s">
        <v>84</v>
      </c>
      <c r="BE23" t="s">
        <v>85</v>
      </c>
      <c r="BF23" t="s">
        <v>84</v>
      </c>
      <c r="BG23" t="s">
        <v>84</v>
      </c>
      <c r="BH23">
        <f t="shared" si="10"/>
        <v>7</v>
      </c>
      <c r="BI23">
        <f t="shared" si="11"/>
        <v>100</v>
      </c>
      <c r="BJ23" t="str">
        <f t="shared" si="18"/>
        <v>High</v>
      </c>
      <c r="BK23" t="s">
        <v>85</v>
      </c>
      <c r="BL23" t="s">
        <v>84</v>
      </c>
      <c r="BM23" t="s">
        <v>85</v>
      </c>
      <c r="BN23" t="s">
        <v>84</v>
      </c>
      <c r="BO23">
        <f t="shared" si="12"/>
        <v>2</v>
      </c>
      <c r="BP23">
        <f t="shared" si="13"/>
        <v>28.571428571428569</v>
      </c>
      <c r="BQ23" t="str">
        <f t="shared" si="14"/>
        <v>Low</v>
      </c>
      <c r="BR23">
        <f t="shared" si="19"/>
        <v>70.967741935483872</v>
      </c>
      <c r="BS23">
        <f t="shared" si="20"/>
        <v>22</v>
      </c>
      <c r="BT23" t="str">
        <f t="shared" si="21"/>
        <v>High</v>
      </c>
      <c r="BU23" t="s">
        <v>105</v>
      </c>
      <c r="BV23" s="13" t="s">
        <v>99</v>
      </c>
      <c r="BW23" s="9">
        <v>2017</v>
      </c>
      <c r="BX23" s="10" t="s">
        <v>100</v>
      </c>
      <c r="BZ23" t="s">
        <v>101</v>
      </c>
    </row>
    <row r="24" spans="1:78" x14ac:dyDescent="0.25">
      <c r="A24" t="s">
        <v>143</v>
      </c>
      <c r="B24">
        <v>41.54</v>
      </c>
      <c r="C24">
        <v>-6.97</v>
      </c>
      <c r="D24" s="8">
        <v>700</v>
      </c>
      <c r="E24" s="8" t="str">
        <f t="shared" si="0"/>
        <v>Small</v>
      </c>
      <c r="F24" t="s">
        <v>79</v>
      </c>
      <c r="G24" t="s">
        <v>144</v>
      </c>
      <c r="H24">
        <v>2014</v>
      </c>
      <c r="I24" t="s">
        <v>103</v>
      </c>
      <c r="J24" t="s">
        <v>91</v>
      </c>
      <c r="L24" t="s">
        <v>121</v>
      </c>
      <c r="M24" t="s">
        <v>84</v>
      </c>
      <c r="N24" t="s">
        <v>85</v>
      </c>
      <c r="O24" t="s">
        <v>85</v>
      </c>
      <c r="P24" t="s">
        <v>84</v>
      </c>
      <c r="Q24" t="s">
        <v>84</v>
      </c>
      <c r="R24" t="s">
        <v>85</v>
      </c>
      <c r="S24" s="8">
        <f t="shared" si="1"/>
        <v>3</v>
      </c>
      <c r="T24" s="8">
        <v>0</v>
      </c>
      <c r="U24" s="8">
        <f t="shared" si="2"/>
        <v>50</v>
      </c>
      <c r="V24" t="str">
        <f t="shared" si="3"/>
        <v>Medium</v>
      </c>
      <c r="X24" t="s">
        <v>84</v>
      </c>
      <c r="Y24" t="s">
        <v>85</v>
      </c>
      <c r="Z24" t="s">
        <v>84</v>
      </c>
      <c r="AA24" t="s">
        <v>85</v>
      </c>
      <c r="AB24" t="s">
        <v>85</v>
      </c>
      <c r="AC24" t="s">
        <v>84</v>
      </c>
      <c r="AD24">
        <f t="shared" si="4"/>
        <v>3</v>
      </c>
      <c r="AE24">
        <f t="shared" si="5"/>
        <v>42.857142857142854</v>
      </c>
      <c r="AF24" t="str">
        <f t="shared" si="15"/>
        <v>Medium</v>
      </c>
      <c r="AG24" t="s">
        <v>85</v>
      </c>
      <c r="AH24" t="s">
        <v>85</v>
      </c>
      <c r="AI24" t="s">
        <v>84</v>
      </c>
      <c r="AJ24" t="s">
        <v>84</v>
      </c>
      <c r="AK24" t="s">
        <v>84</v>
      </c>
      <c r="AL24" t="s">
        <v>85</v>
      </c>
      <c r="AM24">
        <f t="shared" si="6"/>
        <v>3</v>
      </c>
      <c r="AN24">
        <f t="shared" si="7"/>
        <v>42.857142857142854</v>
      </c>
      <c r="AO24" t="str">
        <f t="shared" si="16"/>
        <v>Medium</v>
      </c>
      <c r="AP24" t="s">
        <v>85</v>
      </c>
      <c r="AQ24" t="s">
        <v>84</v>
      </c>
      <c r="AR24" t="s">
        <v>84</v>
      </c>
      <c r="AS24" t="s">
        <v>85</v>
      </c>
      <c r="AT24" t="s">
        <v>85</v>
      </c>
      <c r="AU24" t="s">
        <v>85</v>
      </c>
      <c r="AV24" t="s">
        <v>85</v>
      </c>
      <c r="AW24">
        <f t="shared" si="8"/>
        <v>2</v>
      </c>
      <c r="AX24">
        <f t="shared" si="9"/>
        <v>28.571428571428569</v>
      </c>
      <c r="AY24" t="str">
        <f t="shared" si="17"/>
        <v>Low</v>
      </c>
      <c r="AZ24" t="s">
        <v>84</v>
      </c>
      <c r="BA24" t="s">
        <v>85</v>
      </c>
      <c r="BB24" t="s">
        <v>85</v>
      </c>
      <c r="BC24" t="s">
        <v>85</v>
      </c>
      <c r="BD24" t="s">
        <v>84</v>
      </c>
      <c r="BE24" t="s">
        <v>85</v>
      </c>
      <c r="BF24" t="s">
        <v>84</v>
      </c>
      <c r="BG24" t="s">
        <v>85</v>
      </c>
      <c r="BH24">
        <f t="shared" si="10"/>
        <v>3</v>
      </c>
      <c r="BI24">
        <f t="shared" si="11"/>
        <v>42.857142857142854</v>
      </c>
      <c r="BJ24" t="str">
        <f t="shared" si="18"/>
        <v>Medium</v>
      </c>
      <c r="BK24" t="s">
        <v>84</v>
      </c>
      <c r="BL24" t="s">
        <v>84</v>
      </c>
      <c r="BM24" t="s">
        <v>85</v>
      </c>
      <c r="BN24" t="s">
        <v>84</v>
      </c>
      <c r="BO24">
        <f t="shared" si="12"/>
        <v>3</v>
      </c>
      <c r="BP24">
        <f t="shared" si="13"/>
        <v>42.857142857142854</v>
      </c>
      <c r="BQ24" t="str">
        <f t="shared" si="14"/>
        <v>Medium</v>
      </c>
      <c r="BR24">
        <f t="shared" si="19"/>
        <v>45.161290322580641</v>
      </c>
      <c r="BS24">
        <f t="shared" si="20"/>
        <v>14</v>
      </c>
      <c r="BT24" t="str">
        <f t="shared" si="21"/>
        <v>Moderate</v>
      </c>
      <c r="BU24" t="s">
        <v>92</v>
      </c>
      <c r="BV24" s="13" t="s">
        <v>114</v>
      </c>
      <c r="BW24" s="9">
        <v>2022</v>
      </c>
      <c r="BX24" s="10" t="s">
        <v>88</v>
      </c>
      <c r="BZ24" t="s">
        <v>101</v>
      </c>
    </row>
    <row r="25" spans="1:78" x14ac:dyDescent="0.25">
      <c r="A25" t="s">
        <v>145</v>
      </c>
      <c r="B25">
        <v>48.612777777777701</v>
      </c>
      <c r="C25">
        <v>125.96166666666601</v>
      </c>
      <c r="D25" s="8">
        <v>720</v>
      </c>
      <c r="E25" s="8" t="str">
        <f t="shared" si="0"/>
        <v>Small</v>
      </c>
      <c r="F25" t="s">
        <v>96</v>
      </c>
      <c r="G25" t="s">
        <v>97</v>
      </c>
      <c r="H25">
        <v>2004</v>
      </c>
      <c r="I25" t="s">
        <v>81</v>
      </c>
      <c r="J25" t="s">
        <v>10</v>
      </c>
      <c r="K25" t="s">
        <v>126</v>
      </c>
      <c r="L25" t="s">
        <v>83</v>
      </c>
      <c r="M25" t="s">
        <v>85</v>
      </c>
      <c r="N25" t="s">
        <v>85</v>
      </c>
      <c r="O25" t="s">
        <v>85</v>
      </c>
      <c r="P25" t="s">
        <v>84</v>
      </c>
      <c r="Q25" t="s">
        <v>84</v>
      </c>
      <c r="R25" t="s">
        <v>84</v>
      </c>
      <c r="S25" s="8">
        <f t="shared" si="1"/>
        <v>3</v>
      </c>
      <c r="T25" s="8">
        <v>0</v>
      </c>
      <c r="U25" s="8">
        <f t="shared" si="2"/>
        <v>50</v>
      </c>
      <c r="V25" t="str">
        <f t="shared" si="3"/>
        <v>Medium</v>
      </c>
      <c r="X25" t="s">
        <v>85</v>
      </c>
      <c r="Y25" t="s">
        <v>85</v>
      </c>
      <c r="Z25" t="s">
        <v>85</v>
      </c>
      <c r="AA25" t="s">
        <v>85</v>
      </c>
      <c r="AB25" t="s">
        <v>85</v>
      </c>
      <c r="AC25" t="s">
        <v>85</v>
      </c>
      <c r="AD25">
        <f t="shared" si="4"/>
        <v>0</v>
      </c>
      <c r="AE25">
        <f t="shared" si="5"/>
        <v>0</v>
      </c>
      <c r="AF25" t="str">
        <f t="shared" si="15"/>
        <v>Low</v>
      </c>
      <c r="AG25" t="s">
        <v>85</v>
      </c>
      <c r="AH25" t="s">
        <v>85</v>
      </c>
      <c r="AI25" t="s">
        <v>85</v>
      </c>
      <c r="AJ25" t="s">
        <v>85</v>
      </c>
      <c r="AK25" t="s">
        <v>85</v>
      </c>
      <c r="AL25" t="s">
        <v>85</v>
      </c>
      <c r="AM25">
        <f t="shared" si="6"/>
        <v>0</v>
      </c>
      <c r="AN25">
        <f t="shared" si="7"/>
        <v>0</v>
      </c>
      <c r="AO25" t="str">
        <f t="shared" si="16"/>
        <v>Low</v>
      </c>
      <c r="AP25" t="s">
        <v>85</v>
      </c>
      <c r="AQ25" t="s">
        <v>85</v>
      </c>
      <c r="AR25" t="s">
        <v>85</v>
      </c>
      <c r="AS25" t="s">
        <v>85</v>
      </c>
      <c r="AT25" t="s">
        <v>85</v>
      </c>
      <c r="AU25" t="s">
        <v>85</v>
      </c>
      <c r="AV25" t="s">
        <v>85</v>
      </c>
      <c r="AW25">
        <f t="shared" si="8"/>
        <v>0</v>
      </c>
      <c r="AX25">
        <f t="shared" si="9"/>
        <v>0</v>
      </c>
      <c r="AY25" t="str">
        <f t="shared" si="17"/>
        <v>Low</v>
      </c>
      <c r="AZ25" t="s">
        <v>85</v>
      </c>
      <c r="BA25" t="s">
        <v>85</v>
      </c>
      <c r="BB25" t="s">
        <v>85</v>
      </c>
      <c r="BC25" t="s">
        <v>85</v>
      </c>
      <c r="BD25" t="s">
        <v>85</v>
      </c>
      <c r="BE25" t="s">
        <v>85</v>
      </c>
      <c r="BF25" t="s">
        <v>85</v>
      </c>
      <c r="BG25" t="s">
        <v>85</v>
      </c>
      <c r="BH25">
        <f t="shared" si="10"/>
        <v>0</v>
      </c>
      <c r="BI25">
        <f t="shared" si="11"/>
        <v>0</v>
      </c>
      <c r="BJ25" t="str">
        <f t="shared" si="18"/>
        <v>Low</v>
      </c>
      <c r="BK25" t="s">
        <v>85</v>
      </c>
      <c r="BL25" t="s">
        <v>85</v>
      </c>
      <c r="BM25" t="s">
        <v>85</v>
      </c>
      <c r="BN25" t="s">
        <v>85</v>
      </c>
      <c r="BO25">
        <f t="shared" si="12"/>
        <v>0</v>
      </c>
      <c r="BP25">
        <f t="shared" si="13"/>
        <v>0</v>
      </c>
      <c r="BQ25" t="str">
        <f t="shared" si="14"/>
        <v>Low</v>
      </c>
      <c r="BR25">
        <f t="shared" si="19"/>
        <v>0</v>
      </c>
      <c r="BS25">
        <f t="shared" si="20"/>
        <v>0</v>
      </c>
      <c r="BT25" t="str">
        <f t="shared" si="21"/>
        <v>Low</v>
      </c>
      <c r="BU25" t="s">
        <v>87</v>
      </c>
      <c r="BV25" t="s">
        <v>87</v>
      </c>
      <c r="BW25" s="9">
        <v>2022</v>
      </c>
      <c r="BX25" s="10" t="s">
        <v>88</v>
      </c>
      <c r="BY25" s="8"/>
      <c r="BZ25" t="s">
        <v>87</v>
      </c>
    </row>
    <row r="26" spans="1:78" x14ac:dyDescent="0.25">
      <c r="A26" t="s">
        <v>146</v>
      </c>
      <c r="B26">
        <v>50.597222219999999</v>
      </c>
      <c r="C26">
        <v>15.11722222</v>
      </c>
      <c r="D26" s="8">
        <v>742</v>
      </c>
      <c r="E26" s="8" t="str">
        <f t="shared" si="0"/>
        <v>Small</v>
      </c>
      <c r="F26" t="s">
        <v>79</v>
      </c>
      <c r="G26" t="s">
        <v>147</v>
      </c>
      <c r="H26">
        <v>2005</v>
      </c>
      <c r="I26" t="s">
        <v>81</v>
      </c>
      <c r="J26" t="s">
        <v>91</v>
      </c>
      <c r="L26" t="s">
        <v>121</v>
      </c>
      <c r="M26" t="s">
        <v>85</v>
      </c>
      <c r="N26" t="s">
        <v>85</v>
      </c>
      <c r="O26" t="s">
        <v>85</v>
      </c>
      <c r="P26" t="s">
        <v>85</v>
      </c>
      <c r="Q26" t="s">
        <v>85</v>
      </c>
      <c r="R26" t="s">
        <v>85</v>
      </c>
      <c r="S26" s="8">
        <f t="shared" si="1"/>
        <v>0</v>
      </c>
      <c r="T26" s="8">
        <v>0</v>
      </c>
      <c r="U26" s="8">
        <f t="shared" si="2"/>
        <v>0</v>
      </c>
      <c r="V26" t="str">
        <f t="shared" si="3"/>
        <v>Low</v>
      </c>
      <c r="X26" t="s">
        <v>84</v>
      </c>
      <c r="Y26" t="s">
        <v>85</v>
      </c>
      <c r="Z26" t="s">
        <v>84</v>
      </c>
      <c r="AA26" t="s">
        <v>85</v>
      </c>
      <c r="AB26" t="s">
        <v>85</v>
      </c>
      <c r="AC26" t="s">
        <v>85</v>
      </c>
      <c r="AD26">
        <f t="shared" si="4"/>
        <v>2</v>
      </c>
      <c r="AE26">
        <f t="shared" si="5"/>
        <v>28.571428571428569</v>
      </c>
      <c r="AF26" t="str">
        <f t="shared" si="15"/>
        <v>Low</v>
      </c>
      <c r="AG26" t="s">
        <v>85</v>
      </c>
      <c r="AH26" t="s">
        <v>85</v>
      </c>
      <c r="AI26" t="s">
        <v>85</v>
      </c>
      <c r="AJ26" t="s">
        <v>85</v>
      </c>
      <c r="AK26" t="s">
        <v>84</v>
      </c>
      <c r="AL26" t="s">
        <v>85</v>
      </c>
      <c r="AM26">
        <f t="shared" si="6"/>
        <v>1</v>
      </c>
      <c r="AN26">
        <f t="shared" si="7"/>
        <v>14.285714285714285</v>
      </c>
      <c r="AO26" t="str">
        <f t="shared" si="16"/>
        <v>Low</v>
      </c>
      <c r="AP26" t="s">
        <v>85</v>
      </c>
      <c r="AQ26" t="s">
        <v>84</v>
      </c>
      <c r="AR26" t="s">
        <v>84</v>
      </c>
      <c r="AS26" t="s">
        <v>84</v>
      </c>
      <c r="AT26" t="s">
        <v>84</v>
      </c>
      <c r="AU26" t="s">
        <v>85</v>
      </c>
      <c r="AV26" t="s">
        <v>84</v>
      </c>
      <c r="AW26">
        <f t="shared" si="8"/>
        <v>4</v>
      </c>
      <c r="AX26">
        <f t="shared" si="9"/>
        <v>71.428571428571431</v>
      </c>
      <c r="AY26" t="str">
        <f t="shared" si="17"/>
        <v>High</v>
      </c>
      <c r="AZ26" t="s">
        <v>84</v>
      </c>
      <c r="BA26" t="s">
        <v>85</v>
      </c>
      <c r="BB26" t="s">
        <v>85</v>
      </c>
      <c r="BC26" t="s">
        <v>85</v>
      </c>
      <c r="BD26" t="s">
        <v>84</v>
      </c>
      <c r="BE26" t="s">
        <v>84</v>
      </c>
      <c r="BF26" t="s">
        <v>84</v>
      </c>
      <c r="BG26" t="s">
        <v>85</v>
      </c>
      <c r="BH26">
        <f t="shared" si="10"/>
        <v>4</v>
      </c>
      <c r="BI26">
        <f t="shared" si="11"/>
        <v>57.142857142857139</v>
      </c>
      <c r="BJ26" t="str">
        <f t="shared" si="18"/>
        <v>Medium</v>
      </c>
      <c r="BK26" t="s">
        <v>85</v>
      </c>
      <c r="BL26" t="s">
        <v>85</v>
      </c>
      <c r="BM26" t="s">
        <v>85</v>
      </c>
      <c r="BN26" t="s">
        <v>85</v>
      </c>
      <c r="BO26">
        <f t="shared" si="12"/>
        <v>0</v>
      </c>
      <c r="BP26">
        <f t="shared" si="13"/>
        <v>0</v>
      </c>
      <c r="BQ26" t="str">
        <f t="shared" si="14"/>
        <v>Low</v>
      </c>
      <c r="BR26">
        <f t="shared" si="19"/>
        <v>38.70967741935484</v>
      </c>
      <c r="BS26">
        <f t="shared" si="20"/>
        <v>12</v>
      </c>
      <c r="BT26" t="str">
        <f t="shared" si="21"/>
        <v>Moderate</v>
      </c>
      <c r="BU26" t="s">
        <v>92</v>
      </c>
      <c r="BV26" s="13" t="s">
        <v>99</v>
      </c>
      <c r="BW26" s="9">
        <v>2021</v>
      </c>
      <c r="BX26" s="10" t="s">
        <v>109</v>
      </c>
      <c r="BZ26" t="s">
        <v>101</v>
      </c>
    </row>
    <row r="27" spans="1:78" x14ac:dyDescent="0.25">
      <c r="A27" t="s">
        <v>148</v>
      </c>
      <c r="B27">
        <v>37.038888888888799</v>
      </c>
      <c r="C27">
        <v>137.86277777777701</v>
      </c>
      <c r="D27" s="8">
        <v>750</v>
      </c>
      <c r="E27" s="8" t="str">
        <f t="shared" si="0"/>
        <v>Small</v>
      </c>
      <c r="F27" t="s">
        <v>96</v>
      </c>
      <c r="G27" t="s">
        <v>149</v>
      </c>
      <c r="H27">
        <v>2009</v>
      </c>
      <c r="I27" t="s">
        <v>81</v>
      </c>
      <c r="J27" t="s">
        <v>82</v>
      </c>
      <c r="L27" t="s">
        <v>83</v>
      </c>
      <c r="M27" t="s">
        <v>84</v>
      </c>
      <c r="N27" t="s">
        <v>85</v>
      </c>
      <c r="O27" t="s">
        <v>85</v>
      </c>
      <c r="P27" t="s">
        <v>84</v>
      </c>
      <c r="Q27" t="s">
        <v>84</v>
      </c>
      <c r="R27" t="s">
        <v>85</v>
      </c>
      <c r="S27" s="8">
        <f t="shared" si="1"/>
        <v>3</v>
      </c>
      <c r="T27" s="8">
        <v>0</v>
      </c>
      <c r="U27" s="8">
        <f t="shared" si="2"/>
        <v>50</v>
      </c>
      <c r="V27" t="str">
        <f t="shared" si="3"/>
        <v>Medium</v>
      </c>
      <c r="X27" t="s">
        <v>84</v>
      </c>
      <c r="Y27" t="s">
        <v>84</v>
      </c>
      <c r="Z27" t="s">
        <v>84</v>
      </c>
      <c r="AA27" t="s">
        <v>84</v>
      </c>
      <c r="AB27" t="s">
        <v>84</v>
      </c>
      <c r="AC27" t="s">
        <v>84</v>
      </c>
      <c r="AD27">
        <f t="shared" si="4"/>
        <v>6</v>
      </c>
      <c r="AE27">
        <f t="shared" si="5"/>
        <v>85.714285714285708</v>
      </c>
      <c r="AF27" t="str">
        <f t="shared" si="15"/>
        <v>High</v>
      </c>
      <c r="AG27" t="s">
        <v>84</v>
      </c>
      <c r="AH27" t="s">
        <v>84</v>
      </c>
      <c r="AI27" t="s">
        <v>84</v>
      </c>
      <c r="AJ27" t="s">
        <v>84</v>
      </c>
      <c r="AK27" t="s">
        <v>84</v>
      </c>
      <c r="AL27" t="s">
        <v>84</v>
      </c>
      <c r="AM27">
        <f t="shared" si="6"/>
        <v>6</v>
      </c>
      <c r="AN27">
        <f t="shared" si="7"/>
        <v>85.714285714285708</v>
      </c>
      <c r="AO27" t="str">
        <f t="shared" si="16"/>
        <v>High</v>
      </c>
      <c r="AP27" t="s">
        <v>84</v>
      </c>
      <c r="AQ27" t="s">
        <v>84</v>
      </c>
      <c r="AR27" t="s">
        <v>84</v>
      </c>
      <c r="AS27" t="s">
        <v>84</v>
      </c>
      <c r="AT27" t="s">
        <v>84</v>
      </c>
      <c r="AU27" t="s">
        <v>85</v>
      </c>
      <c r="AV27" t="s">
        <v>84</v>
      </c>
      <c r="AW27">
        <f t="shared" si="8"/>
        <v>5</v>
      </c>
      <c r="AX27">
        <f t="shared" si="9"/>
        <v>85.714285714285708</v>
      </c>
      <c r="AY27" t="str">
        <f t="shared" si="17"/>
        <v>High</v>
      </c>
      <c r="AZ27" t="s">
        <v>84</v>
      </c>
      <c r="BA27" t="s">
        <v>84</v>
      </c>
      <c r="BB27" t="s">
        <v>84</v>
      </c>
      <c r="BC27" t="s">
        <v>84</v>
      </c>
      <c r="BD27" t="s">
        <v>84</v>
      </c>
      <c r="BE27" t="s">
        <v>84</v>
      </c>
      <c r="BF27" t="s">
        <v>84</v>
      </c>
      <c r="BG27" t="s">
        <v>84</v>
      </c>
      <c r="BH27">
        <f t="shared" si="10"/>
        <v>8</v>
      </c>
      <c r="BI27">
        <f t="shared" si="11"/>
        <v>114.28571428571428</v>
      </c>
      <c r="BJ27" t="str">
        <f t="shared" si="18"/>
        <v>High</v>
      </c>
      <c r="BK27" t="s">
        <v>84</v>
      </c>
      <c r="BL27" t="s">
        <v>84</v>
      </c>
      <c r="BM27" t="s">
        <v>84</v>
      </c>
      <c r="BN27" t="s">
        <v>84</v>
      </c>
      <c r="BO27">
        <f t="shared" si="12"/>
        <v>4</v>
      </c>
      <c r="BP27">
        <f t="shared" si="13"/>
        <v>57.142857142857139</v>
      </c>
      <c r="BQ27" t="str">
        <f t="shared" si="14"/>
        <v>Medium</v>
      </c>
      <c r="BR27">
        <f t="shared" si="19"/>
        <v>96.774193548387103</v>
      </c>
      <c r="BS27">
        <f t="shared" si="20"/>
        <v>30</v>
      </c>
      <c r="BT27" t="str">
        <f t="shared" si="21"/>
        <v>High</v>
      </c>
      <c r="BU27" t="s">
        <v>92</v>
      </c>
      <c r="BV27" s="13" t="s">
        <v>99</v>
      </c>
      <c r="BW27" s="9">
        <v>2017</v>
      </c>
      <c r="BX27" s="10" t="s">
        <v>100</v>
      </c>
      <c r="BY27" s="8">
        <v>0.05</v>
      </c>
      <c r="BZ27" t="s">
        <v>94</v>
      </c>
    </row>
    <row r="28" spans="1:78" x14ac:dyDescent="0.25">
      <c r="A28" t="s">
        <v>150</v>
      </c>
      <c r="B28">
        <v>36.514620277777702</v>
      </c>
      <c r="C28">
        <v>136.56548749999999</v>
      </c>
      <c r="D28" s="8">
        <v>754.93</v>
      </c>
      <c r="E28" s="8" t="str">
        <f t="shared" si="0"/>
        <v>Small</v>
      </c>
      <c r="F28" t="s">
        <v>96</v>
      </c>
      <c r="G28" t="s">
        <v>149</v>
      </c>
      <c r="H28">
        <v>2023</v>
      </c>
      <c r="I28" t="s">
        <v>98</v>
      </c>
      <c r="J28" t="s">
        <v>91</v>
      </c>
      <c r="L28" t="s">
        <v>128</v>
      </c>
      <c r="M28" t="s">
        <v>85</v>
      </c>
      <c r="N28" t="s">
        <v>85</v>
      </c>
      <c r="O28" t="s">
        <v>85</v>
      </c>
      <c r="P28" t="s">
        <v>84</v>
      </c>
      <c r="Q28" t="s">
        <v>84</v>
      </c>
      <c r="R28" t="s">
        <v>85</v>
      </c>
      <c r="S28" s="8">
        <f t="shared" si="1"/>
        <v>2</v>
      </c>
      <c r="T28" s="8">
        <v>0</v>
      </c>
      <c r="U28" s="8">
        <f t="shared" si="2"/>
        <v>33.333333333333329</v>
      </c>
      <c r="V28" t="str">
        <f t="shared" si="3"/>
        <v>Medium</v>
      </c>
      <c r="W28" t="s">
        <v>151</v>
      </c>
      <c r="X28" t="s">
        <v>84</v>
      </c>
      <c r="Y28" t="s">
        <v>84</v>
      </c>
      <c r="Z28" t="s">
        <v>84</v>
      </c>
      <c r="AA28" t="s">
        <v>85</v>
      </c>
      <c r="AB28" t="s">
        <v>85</v>
      </c>
      <c r="AC28" t="s">
        <v>85</v>
      </c>
      <c r="AD28">
        <f t="shared" si="4"/>
        <v>3</v>
      </c>
      <c r="AE28">
        <f t="shared" si="5"/>
        <v>42.857142857142854</v>
      </c>
      <c r="AF28" t="str">
        <f t="shared" si="15"/>
        <v>Medium</v>
      </c>
      <c r="AG28" t="s">
        <v>84</v>
      </c>
      <c r="AH28" t="s">
        <v>85</v>
      </c>
      <c r="AI28" t="s">
        <v>84</v>
      </c>
      <c r="AJ28" t="s">
        <v>85</v>
      </c>
      <c r="AK28" t="s">
        <v>84</v>
      </c>
      <c r="AL28" t="s">
        <v>85</v>
      </c>
      <c r="AM28">
        <f t="shared" si="6"/>
        <v>3</v>
      </c>
      <c r="AN28">
        <f t="shared" si="7"/>
        <v>42.857142857142854</v>
      </c>
      <c r="AO28" t="str">
        <f t="shared" si="16"/>
        <v>Medium</v>
      </c>
      <c r="AP28" t="s">
        <v>85</v>
      </c>
      <c r="AQ28" t="s">
        <v>85</v>
      </c>
      <c r="AR28" t="s">
        <v>85</v>
      </c>
      <c r="AS28" t="s">
        <v>85</v>
      </c>
      <c r="AT28" t="s">
        <v>85</v>
      </c>
      <c r="AU28" t="s">
        <v>85</v>
      </c>
      <c r="AV28" t="s">
        <v>85</v>
      </c>
      <c r="AW28">
        <f t="shared" si="8"/>
        <v>0</v>
      </c>
      <c r="AX28">
        <f t="shared" si="9"/>
        <v>0</v>
      </c>
      <c r="AY28" t="str">
        <f t="shared" si="17"/>
        <v>Low</v>
      </c>
      <c r="AZ28" t="s">
        <v>84</v>
      </c>
      <c r="BA28" t="s">
        <v>84</v>
      </c>
      <c r="BB28" t="s">
        <v>85</v>
      </c>
      <c r="BC28" t="s">
        <v>85</v>
      </c>
      <c r="BD28" t="s">
        <v>84</v>
      </c>
      <c r="BE28" t="s">
        <v>85</v>
      </c>
      <c r="BF28" t="s">
        <v>85</v>
      </c>
      <c r="BG28" t="s">
        <v>84</v>
      </c>
      <c r="BH28">
        <f t="shared" si="10"/>
        <v>4</v>
      </c>
      <c r="BI28">
        <f t="shared" si="11"/>
        <v>57.142857142857139</v>
      </c>
      <c r="BJ28" t="str">
        <f t="shared" si="18"/>
        <v>Medium</v>
      </c>
      <c r="BK28" t="s">
        <v>84</v>
      </c>
      <c r="BL28" t="s">
        <v>85</v>
      </c>
      <c r="BM28" t="s">
        <v>85</v>
      </c>
      <c r="BN28" t="s">
        <v>84</v>
      </c>
      <c r="BO28">
        <f t="shared" si="12"/>
        <v>2</v>
      </c>
      <c r="BP28">
        <f t="shared" si="13"/>
        <v>28.571428571428569</v>
      </c>
      <c r="BQ28" t="str">
        <f t="shared" si="14"/>
        <v>Low</v>
      </c>
      <c r="BR28">
        <f t="shared" si="19"/>
        <v>38.70967741935484</v>
      </c>
      <c r="BS28">
        <f t="shared" si="20"/>
        <v>12</v>
      </c>
      <c r="BT28" t="str">
        <f t="shared" si="21"/>
        <v>Moderate</v>
      </c>
      <c r="BU28" t="s">
        <v>105</v>
      </c>
      <c r="BV28" s="13" t="s">
        <v>114</v>
      </c>
      <c r="BX28" s="10" t="s">
        <v>115</v>
      </c>
      <c r="BY28" s="8">
        <v>0.2</v>
      </c>
      <c r="BZ28" t="s">
        <v>94</v>
      </c>
    </row>
    <row r="29" spans="1:78" x14ac:dyDescent="0.25">
      <c r="A29" t="s">
        <v>152</v>
      </c>
      <c r="B29">
        <v>51.930833333333297</v>
      </c>
      <c r="C29">
        <v>-3.4058333333333302</v>
      </c>
      <c r="D29" s="8">
        <v>763</v>
      </c>
      <c r="E29" s="8" t="str">
        <f t="shared" si="0"/>
        <v>Small</v>
      </c>
      <c r="F29" t="s">
        <v>79</v>
      </c>
      <c r="G29" t="s">
        <v>153</v>
      </c>
      <c r="H29">
        <v>2005</v>
      </c>
      <c r="I29" t="s">
        <v>81</v>
      </c>
      <c r="J29" t="s">
        <v>10</v>
      </c>
      <c r="K29" t="s">
        <v>154</v>
      </c>
      <c r="L29" t="s">
        <v>128</v>
      </c>
      <c r="M29" t="s">
        <v>84</v>
      </c>
      <c r="N29" t="s">
        <v>85</v>
      </c>
      <c r="O29" t="s">
        <v>85</v>
      </c>
      <c r="P29" t="s">
        <v>84</v>
      </c>
      <c r="Q29" t="s">
        <v>85</v>
      </c>
      <c r="R29" t="s">
        <v>85</v>
      </c>
      <c r="S29" s="8">
        <f t="shared" si="1"/>
        <v>2</v>
      </c>
      <c r="T29" s="8">
        <v>0</v>
      </c>
      <c r="U29" s="8">
        <f t="shared" si="2"/>
        <v>33.333333333333329</v>
      </c>
      <c r="V29" t="str">
        <f t="shared" si="3"/>
        <v>Medium</v>
      </c>
      <c r="X29" t="s">
        <v>85</v>
      </c>
      <c r="Y29" t="s">
        <v>85</v>
      </c>
      <c r="Z29" t="s">
        <v>84</v>
      </c>
      <c r="AA29" t="s">
        <v>85</v>
      </c>
      <c r="AB29" t="s">
        <v>85</v>
      </c>
      <c r="AC29" t="s">
        <v>85</v>
      </c>
      <c r="AD29">
        <f t="shared" si="4"/>
        <v>1</v>
      </c>
      <c r="AE29">
        <f t="shared" si="5"/>
        <v>14.285714285714285</v>
      </c>
      <c r="AF29" t="str">
        <f t="shared" si="15"/>
        <v>Low</v>
      </c>
      <c r="AG29" t="s">
        <v>85</v>
      </c>
      <c r="AH29" t="s">
        <v>85</v>
      </c>
      <c r="AI29" t="s">
        <v>85</v>
      </c>
      <c r="AJ29" t="s">
        <v>85</v>
      </c>
      <c r="AK29" t="s">
        <v>85</v>
      </c>
      <c r="AL29" t="s">
        <v>84</v>
      </c>
      <c r="AM29">
        <f t="shared" si="6"/>
        <v>1</v>
      </c>
      <c r="AN29">
        <f t="shared" si="7"/>
        <v>14.285714285714285</v>
      </c>
      <c r="AO29" t="str">
        <f t="shared" si="16"/>
        <v>Low</v>
      </c>
      <c r="AP29" t="s">
        <v>85</v>
      </c>
      <c r="AQ29" t="s">
        <v>85</v>
      </c>
      <c r="AR29" t="s">
        <v>85</v>
      </c>
      <c r="AS29" t="s">
        <v>85</v>
      </c>
      <c r="AT29" t="s">
        <v>84</v>
      </c>
      <c r="AU29" t="s">
        <v>85</v>
      </c>
      <c r="AV29" t="s">
        <v>85</v>
      </c>
      <c r="AW29">
        <f t="shared" si="8"/>
        <v>1</v>
      </c>
      <c r="AX29">
        <f t="shared" si="9"/>
        <v>14.285714285714285</v>
      </c>
      <c r="AY29" t="str">
        <f t="shared" si="17"/>
        <v>Low</v>
      </c>
      <c r="AZ29" t="s">
        <v>85</v>
      </c>
      <c r="BA29" t="s">
        <v>85</v>
      </c>
      <c r="BB29" t="s">
        <v>85</v>
      </c>
      <c r="BC29" t="s">
        <v>84</v>
      </c>
      <c r="BD29" t="s">
        <v>85</v>
      </c>
      <c r="BE29" t="s">
        <v>85</v>
      </c>
      <c r="BF29" t="s">
        <v>85</v>
      </c>
      <c r="BG29" t="s">
        <v>85</v>
      </c>
      <c r="BH29">
        <f t="shared" si="10"/>
        <v>1</v>
      </c>
      <c r="BI29">
        <f t="shared" si="11"/>
        <v>14.285714285714285</v>
      </c>
      <c r="BJ29" t="str">
        <f t="shared" si="18"/>
        <v>Low</v>
      </c>
      <c r="BK29" t="s">
        <v>85</v>
      </c>
      <c r="BL29" t="s">
        <v>85</v>
      </c>
      <c r="BM29" t="s">
        <v>85</v>
      </c>
      <c r="BN29" t="s">
        <v>85</v>
      </c>
      <c r="BO29">
        <f t="shared" si="12"/>
        <v>0</v>
      </c>
      <c r="BP29">
        <f t="shared" si="13"/>
        <v>0</v>
      </c>
      <c r="BQ29" t="str">
        <f t="shared" si="14"/>
        <v>Low</v>
      </c>
      <c r="BR29">
        <f t="shared" si="19"/>
        <v>12.903225806451612</v>
      </c>
      <c r="BS29">
        <f t="shared" si="20"/>
        <v>4</v>
      </c>
      <c r="BT29" t="str">
        <f t="shared" si="21"/>
        <v>Low</v>
      </c>
      <c r="BU29" t="s">
        <v>92</v>
      </c>
      <c r="BV29" s="13" t="s">
        <v>93</v>
      </c>
      <c r="BW29" s="9">
        <v>2021</v>
      </c>
      <c r="BX29" s="10" t="s">
        <v>109</v>
      </c>
      <c r="BZ29" t="s">
        <v>101</v>
      </c>
    </row>
    <row r="30" spans="1:78" x14ac:dyDescent="0.25">
      <c r="A30" t="s">
        <v>155</v>
      </c>
      <c r="B30">
        <v>38.140833333333298</v>
      </c>
      <c r="C30">
        <v>20.655833333333302</v>
      </c>
      <c r="D30" s="8">
        <v>773</v>
      </c>
      <c r="E30" s="8" t="str">
        <f t="shared" si="0"/>
        <v>Small</v>
      </c>
      <c r="F30" t="s">
        <v>79</v>
      </c>
      <c r="G30" t="s">
        <v>135</v>
      </c>
      <c r="H30">
        <v>2022</v>
      </c>
      <c r="I30" t="s">
        <v>98</v>
      </c>
      <c r="J30" t="s">
        <v>82</v>
      </c>
      <c r="L30" t="s">
        <v>104</v>
      </c>
      <c r="M30" t="s">
        <v>84</v>
      </c>
      <c r="N30" t="s">
        <v>85</v>
      </c>
      <c r="O30" t="s">
        <v>85</v>
      </c>
      <c r="P30" t="s">
        <v>84</v>
      </c>
      <c r="Q30" t="s">
        <v>84</v>
      </c>
      <c r="R30" t="s">
        <v>84</v>
      </c>
      <c r="S30" s="8">
        <f t="shared" si="1"/>
        <v>4</v>
      </c>
      <c r="T30" s="8">
        <v>0</v>
      </c>
      <c r="U30" s="8">
        <f t="shared" si="2"/>
        <v>66.666666666666657</v>
      </c>
      <c r="V30" t="str">
        <f t="shared" si="3"/>
        <v>Medium</v>
      </c>
      <c r="X30" t="s">
        <v>84</v>
      </c>
      <c r="Y30" t="s">
        <v>85</v>
      </c>
      <c r="Z30" t="s">
        <v>84</v>
      </c>
      <c r="AA30" t="s">
        <v>84</v>
      </c>
      <c r="AB30" t="s">
        <v>84</v>
      </c>
      <c r="AC30" t="s">
        <v>85</v>
      </c>
      <c r="AD30">
        <f t="shared" si="4"/>
        <v>4</v>
      </c>
      <c r="AE30">
        <f t="shared" si="5"/>
        <v>57.142857142857139</v>
      </c>
      <c r="AF30" t="str">
        <f t="shared" si="15"/>
        <v>Medium</v>
      </c>
      <c r="AG30" t="s">
        <v>84</v>
      </c>
      <c r="AH30" t="s">
        <v>85</v>
      </c>
      <c r="AI30" t="s">
        <v>85</v>
      </c>
      <c r="AJ30" t="s">
        <v>84</v>
      </c>
      <c r="AK30" t="s">
        <v>85</v>
      </c>
      <c r="AL30" t="s">
        <v>84</v>
      </c>
      <c r="AM30">
        <f t="shared" si="6"/>
        <v>3</v>
      </c>
      <c r="AN30">
        <f t="shared" si="7"/>
        <v>42.857142857142854</v>
      </c>
      <c r="AO30" t="str">
        <f t="shared" si="16"/>
        <v>Medium</v>
      </c>
      <c r="AP30" t="s">
        <v>85</v>
      </c>
      <c r="AQ30" t="s">
        <v>84</v>
      </c>
      <c r="AR30" t="s">
        <v>84</v>
      </c>
      <c r="AS30" t="s">
        <v>85</v>
      </c>
      <c r="AT30" t="s">
        <v>84</v>
      </c>
      <c r="AU30" t="s">
        <v>85</v>
      </c>
      <c r="AV30" t="s">
        <v>85</v>
      </c>
      <c r="AW30">
        <f t="shared" si="8"/>
        <v>3</v>
      </c>
      <c r="AX30">
        <f t="shared" si="9"/>
        <v>42.857142857142854</v>
      </c>
      <c r="AY30" t="str">
        <f t="shared" si="17"/>
        <v>Medium</v>
      </c>
      <c r="AZ30" t="s">
        <v>84</v>
      </c>
      <c r="BA30" t="s">
        <v>85</v>
      </c>
      <c r="BB30" t="s">
        <v>85</v>
      </c>
      <c r="BC30" t="s">
        <v>84</v>
      </c>
      <c r="BD30" t="s">
        <v>84</v>
      </c>
      <c r="BE30" t="s">
        <v>85</v>
      </c>
      <c r="BF30" t="s">
        <v>85</v>
      </c>
      <c r="BG30" t="s">
        <v>84</v>
      </c>
      <c r="BH30">
        <f t="shared" si="10"/>
        <v>4</v>
      </c>
      <c r="BI30">
        <f t="shared" si="11"/>
        <v>57.142857142857139</v>
      </c>
      <c r="BJ30" t="str">
        <f t="shared" si="18"/>
        <v>Medium</v>
      </c>
      <c r="BK30" t="s">
        <v>85</v>
      </c>
      <c r="BL30" t="s">
        <v>85</v>
      </c>
      <c r="BM30" t="s">
        <v>85</v>
      </c>
      <c r="BN30" t="s">
        <v>84</v>
      </c>
      <c r="BO30">
        <f t="shared" si="12"/>
        <v>1</v>
      </c>
      <c r="BP30">
        <f t="shared" si="13"/>
        <v>14.285714285714285</v>
      </c>
      <c r="BQ30" t="str">
        <f t="shared" si="14"/>
        <v>Low</v>
      </c>
      <c r="BR30">
        <f t="shared" si="19"/>
        <v>48.387096774193552</v>
      </c>
      <c r="BS30">
        <f t="shared" si="20"/>
        <v>15</v>
      </c>
      <c r="BT30" t="str">
        <f t="shared" si="21"/>
        <v>Moderate</v>
      </c>
      <c r="BU30" t="s">
        <v>92</v>
      </c>
      <c r="BV30" s="13" t="s">
        <v>99</v>
      </c>
      <c r="BX30" s="10" t="s">
        <v>115</v>
      </c>
      <c r="BY30" s="8">
        <v>0.2</v>
      </c>
      <c r="BZ30" t="s">
        <v>94</v>
      </c>
    </row>
    <row r="31" spans="1:78" x14ac:dyDescent="0.25">
      <c r="A31" t="s">
        <v>156</v>
      </c>
      <c r="B31">
        <v>63.973055555555497</v>
      </c>
      <c r="C31">
        <v>-22.516666666666602</v>
      </c>
      <c r="D31" s="8">
        <v>825</v>
      </c>
      <c r="E31" s="8" t="str">
        <f t="shared" si="0"/>
        <v>Small</v>
      </c>
      <c r="F31" t="s">
        <v>79</v>
      </c>
      <c r="G31" t="s">
        <v>157</v>
      </c>
      <c r="H31">
        <v>2015</v>
      </c>
      <c r="I31" t="s">
        <v>98</v>
      </c>
      <c r="J31" t="s">
        <v>82</v>
      </c>
      <c r="L31" t="s">
        <v>121</v>
      </c>
      <c r="M31" t="s">
        <v>84</v>
      </c>
      <c r="N31" t="s">
        <v>85</v>
      </c>
      <c r="O31" t="s">
        <v>85</v>
      </c>
      <c r="P31" t="s">
        <v>85</v>
      </c>
      <c r="Q31" t="s">
        <v>85</v>
      </c>
      <c r="R31" t="s">
        <v>85</v>
      </c>
      <c r="S31" s="8">
        <f t="shared" si="1"/>
        <v>1</v>
      </c>
      <c r="T31" s="8">
        <v>0</v>
      </c>
      <c r="U31" s="8">
        <f t="shared" si="2"/>
        <v>16.666666666666664</v>
      </c>
      <c r="V31" t="str">
        <f t="shared" si="3"/>
        <v>Low</v>
      </c>
      <c r="X31" t="s">
        <v>84</v>
      </c>
      <c r="Y31" t="s">
        <v>85</v>
      </c>
      <c r="Z31" t="s">
        <v>85</v>
      </c>
      <c r="AA31" t="s">
        <v>84</v>
      </c>
      <c r="AB31" t="s">
        <v>85</v>
      </c>
      <c r="AC31" t="s">
        <v>85</v>
      </c>
      <c r="AD31">
        <f t="shared" si="4"/>
        <v>2</v>
      </c>
      <c r="AE31">
        <f t="shared" si="5"/>
        <v>28.571428571428569</v>
      </c>
      <c r="AF31" t="str">
        <f t="shared" si="15"/>
        <v>Low</v>
      </c>
      <c r="AG31" t="s">
        <v>85</v>
      </c>
      <c r="AH31" t="s">
        <v>85</v>
      </c>
      <c r="AI31" t="s">
        <v>84</v>
      </c>
      <c r="AJ31" t="s">
        <v>84</v>
      </c>
      <c r="AK31" t="s">
        <v>84</v>
      </c>
      <c r="AL31" t="s">
        <v>85</v>
      </c>
      <c r="AM31">
        <f t="shared" si="6"/>
        <v>3</v>
      </c>
      <c r="AN31">
        <f t="shared" si="7"/>
        <v>42.857142857142854</v>
      </c>
      <c r="AO31" t="str">
        <f t="shared" si="16"/>
        <v>Medium</v>
      </c>
      <c r="AP31" t="s">
        <v>85</v>
      </c>
      <c r="AQ31" t="s">
        <v>85</v>
      </c>
      <c r="AR31" t="s">
        <v>85</v>
      </c>
      <c r="AS31" t="s">
        <v>84</v>
      </c>
      <c r="AT31" t="s">
        <v>85</v>
      </c>
      <c r="AU31" t="s">
        <v>85</v>
      </c>
      <c r="AV31" t="s">
        <v>85</v>
      </c>
      <c r="AW31">
        <f t="shared" si="8"/>
        <v>1</v>
      </c>
      <c r="AX31">
        <f t="shared" si="9"/>
        <v>14.285714285714285</v>
      </c>
      <c r="AY31" t="str">
        <f t="shared" si="17"/>
        <v>Low</v>
      </c>
      <c r="AZ31" t="s">
        <v>84</v>
      </c>
      <c r="BA31" t="s">
        <v>85</v>
      </c>
      <c r="BB31" t="s">
        <v>84</v>
      </c>
      <c r="BC31" t="s">
        <v>84</v>
      </c>
      <c r="BD31" t="s">
        <v>84</v>
      </c>
      <c r="BE31" t="s">
        <v>85</v>
      </c>
      <c r="BF31" t="s">
        <v>85</v>
      </c>
      <c r="BG31" t="s">
        <v>85</v>
      </c>
      <c r="BH31">
        <f t="shared" si="10"/>
        <v>4</v>
      </c>
      <c r="BI31">
        <f t="shared" si="11"/>
        <v>57.142857142857139</v>
      </c>
      <c r="BJ31" t="str">
        <f t="shared" si="18"/>
        <v>Medium</v>
      </c>
      <c r="BK31" t="s">
        <v>85</v>
      </c>
      <c r="BL31" t="s">
        <v>85</v>
      </c>
      <c r="BM31" t="s">
        <v>85</v>
      </c>
      <c r="BN31" t="s">
        <v>85</v>
      </c>
      <c r="BO31">
        <f t="shared" si="12"/>
        <v>0</v>
      </c>
      <c r="BP31">
        <f t="shared" si="13"/>
        <v>0</v>
      </c>
      <c r="BQ31" t="str">
        <f t="shared" si="14"/>
        <v>Low</v>
      </c>
      <c r="BR31">
        <f t="shared" si="19"/>
        <v>32.258064516129032</v>
      </c>
      <c r="BS31">
        <f t="shared" si="20"/>
        <v>10</v>
      </c>
      <c r="BT31" t="str">
        <f t="shared" si="21"/>
        <v>Low</v>
      </c>
      <c r="BU31" t="s">
        <v>92</v>
      </c>
      <c r="BV31" s="13" t="s">
        <v>114</v>
      </c>
      <c r="BW31" s="9">
        <v>2023</v>
      </c>
      <c r="BX31" s="10" t="s">
        <v>88</v>
      </c>
      <c r="BZ31" t="s">
        <v>101</v>
      </c>
    </row>
    <row r="32" spans="1:78" x14ac:dyDescent="0.25">
      <c r="A32" t="s">
        <v>158</v>
      </c>
      <c r="B32">
        <v>13.550277777777699</v>
      </c>
      <c r="C32">
        <v>-86.580199999999905</v>
      </c>
      <c r="D32" s="8">
        <v>954</v>
      </c>
      <c r="E32" s="8" t="str">
        <f t="shared" si="0"/>
        <v>Small</v>
      </c>
      <c r="F32" t="s">
        <v>130</v>
      </c>
      <c r="G32" t="s">
        <v>159</v>
      </c>
      <c r="H32">
        <v>2020</v>
      </c>
      <c r="I32" t="s">
        <v>98</v>
      </c>
      <c r="J32" t="s">
        <v>82</v>
      </c>
      <c r="L32" t="s">
        <v>104</v>
      </c>
      <c r="M32" t="s">
        <v>85</v>
      </c>
      <c r="N32" t="s">
        <v>85</v>
      </c>
      <c r="O32" t="s">
        <v>85</v>
      </c>
      <c r="P32" t="s">
        <v>84</v>
      </c>
      <c r="Q32" t="s">
        <v>84</v>
      </c>
      <c r="R32" t="s">
        <v>85</v>
      </c>
      <c r="S32" s="8">
        <f t="shared" si="1"/>
        <v>2</v>
      </c>
      <c r="T32" s="8">
        <v>0</v>
      </c>
      <c r="U32" s="8">
        <f t="shared" si="2"/>
        <v>33.333333333333329</v>
      </c>
      <c r="V32" t="str">
        <f t="shared" si="3"/>
        <v>Medium</v>
      </c>
      <c r="X32" t="s">
        <v>85</v>
      </c>
      <c r="Y32" t="s">
        <v>85</v>
      </c>
      <c r="Z32" t="s">
        <v>84</v>
      </c>
      <c r="AA32" t="s">
        <v>85</v>
      </c>
      <c r="AB32" t="s">
        <v>85</v>
      </c>
      <c r="AC32" t="s">
        <v>85</v>
      </c>
      <c r="AD32">
        <f t="shared" si="4"/>
        <v>1</v>
      </c>
      <c r="AE32">
        <f t="shared" si="5"/>
        <v>14.285714285714285</v>
      </c>
      <c r="AF32" t="str">
        <f t="shared" si="15"/>
        <v>Low</v>
      </c>
      <c r="AG32" t="s">
        <v>85</v>
      </c>
      <c r="AH32" t="s">
        <v>85</v>
      </c>
      <c r="AI32" t="s">
        <v>84</v>
      </c>
      <c r="AJ32" t="s">
        <v>85</v>
      </c>
      <c r="AK32" t="s">
        <v>85</v>
      </c>
      <c r="AL32" t="s">
        <v>85</v>
      </c>
      <c r="AM32">
        <f t="shared" si="6"/>
        <v>1</v>
      </c>
      <c r="AN32">
        <f t="shared" si="7"/>
        <v>14.285714285714285</v>
      </c>
      <c r="AO32" t="str">
        <f t="shared" si="16"/>
        <v>Low</v>
      </c>
      <c r="AP32" t="s">
        <v>85</v>
      </c>
      <c r="AQ32" t="s">
        <v>85</v>
      </c>
      <c r="AR32" t="s">
        <v>85</v>
      </c>
      <c r="AS32" t="s">
        <v>84</v>
      </c>
      <c r="AT32" t="s">
        <v>85</v>
      </c>
      <c r="AU32" t="s">
        <v>85</v>
      </c>
      <c r="AV32" t="s">
        <v>85</v>
      </c>
      <c r="AW32">
        <f t="shared" si="8"/>
        <v>1</v>
      </c>
      <c r="AX32">
        <f t="shared" si="9"/>
        <v>14.285714285714285</v>
      </c>
      <c r="AY32" t="str">
        <f t="shared" si="17"/>
        <v>Low</v>
      </c>
      <c r="AZ32" t="s">
        <v>84</v>
      </c>
      <c r="BA32" t="s">
        <v>84</v>
      </c>
      <c r="BB32" t="s">
        <v>85</v>
      </c>
      <c r="BC32" t="s">
        <v>85</v>
      </c>
      <c r="BD32" t="s">
        <v>85</v>
      </c>
      <c r="BE32" t="s">
        <v>85</v>
      </c>
      <c r="BF32" t="s">
        <v>84</v>
      </c>
      <c r="BG32" t="s">
        <v>85</v>
      </c>
      <c r="BH32">
        <f t="shared" si="10"/>
        <v>3</v>
      </c>
      <c r="BI32">
        <f t="shared" si="11"/>
        <v>42.857142857142854</v>
      </c>
      <c r="BJ32" t="str">
        <f t="shared" si="18"/>
        <v>Medium</v>
      </c>
      <c r="BK32" t="s">
        <v>85</v>
      </c>
      <c r="BL32" t="s">
        <v>85</v>
      </c>
      <c r="BM32" t="s">
        <v>84</v>
      </c>
      <c r="BN32" t="s">
        <v>85</v>
      </c>
      <c r="BO32">
        <f t="shared" si="12"/>
        <v>1</v>
      </c>
      <c r="BP32">
        <f t="shared" si="13"/>
        <v>14.285714285714285</v>
      </c>
      <c r="BQ32" t="str">
        <f t="shared" si="14"/>
        <v>Low</v>
      </c>
      <c r="BR32">
        <f t="shared" si="19"/>
        <v>22.58064516129032</v>
      </c>
      <c r="BS32">
        <f t="shared" si="20"/>
        <v>7</v>
      </c>
      <c r="BT32" t="str">
        <f t="shared" si="21"/>
        <v>Low</v>
      </c>
      <c r="BU32" t="s">
        <v>105</v>
      </c>
      <c r="BV32" s="13" t="s">
        <v>99</v>
      </c>
      <c r="BW32" s="9">
        <v>2023</v>
      </c>
      <c r="BX32" s="10" t="s">
        <v>88</v>
      </c>
      <c r="BZ32" t="s">
        <v>101</v>
      </c>
    </row>
    <row r="33" spans="1:79" x14ac:dyDescent="0.25">
      <c r="A33" t="s">
        <v>160</v>
      </c>
      <c r="B33">
        <v>52.9305555555555</v>
      </c>
      <c r="C33">
        <v>6.82527777777777</v>
      </c>
      <c r="D33" s="8">
        <v>1000</v>
      </c>
      <c r="E33" s="8" t="str">
        <f t="shared" si="0"/>
        <v>Medium</v>
      </c>
      <c r="F33" t="s">
        <v>79</v>
      </c>
      <c r="G33" t="s">
        <v>161</v>
      </c>
      <c r="H33">
        <v>2013</v>
      </c>
      <c r="I33" t="s">
        <v>103</v>
      </c>
      <c r="J33" t="s">
        <v>82</v>
      </c>
      <c r="L33" t="s">
        <v>83</v>
      </c>
      <c r="M33" t="s">
        <v>85</v>
      </c>
      <c r="N33" t="s">
        <v>85</v>
      </c>
      <c r="O33" t="s">
        <v>85</v>
      </c>
      <c r="P33" t="s">
        <v>85</v>
      </c>
      <c r="Q33" t="s">
        <v>85</v>
      </c>
      <c r="R33" t="s">
        <v>85</v>
      </c>
      <c r="S33" s="8">
        <f t="shared" si="1"/>
        <v>0</v>
      </c>
      <c r="T33" s="8">
        <v>0</v>
      </c>
      <c r="U33" s="8">
        <f t="shared" si="2"/>
        <v>0</v>
      </c>
      <c r="V33" t="str">
        <f t="shared" si="3"/>
        <v>Low</v>
      </c>
      <c r="X33" t="s">
        <v>85</v>
      </c>
      <c r="Y33" t="s">
        <v>84</v>
      </c>
      <c r="Z33" t="s">
        <v>84</v>
      </c>
      <c r="AA33" t="s">
        <v>84</v>
      </c>
      <c r="AB33" t="s">
        <v>84</v>
      </c>
      <c r="AC33" t="s">
        <v>85</v>
      </c>
      <c r="AD33">
        <f t="shared" si="4"/>
        <v>4</v>
      </c>
      <c r="AE33">
        <f t="shared" si="5"/>
        <v>57.142857142857139</v>
      </c>
      <c r="AF33" t="str">
        <f t="shared" si="15"/>
        <v>Medium</v>
      </c>
      <c r="AG33" t="s">
        <v>84</v>
      </c>
      <c r="AH33" t="s">
        <v>84</v>
      </c>
      <c r="AI33" t="s">
        <v>85</v>
      </c>
      <c r="AJ33" t="s">
        <v>85</v>
      </c>
      <c r="AK33" t="s">
        <v>84</v>
      </c>
      <c r="AL33" t="s">
        <v>85</v>
      </c>
      <c r="AM33">
        <f t="shared" si="6"/>
        <v>3</v>
      </c>
      <c r="AN33">
        <f t="shared" si="7"/>
        <v>42.857142857142854</v>
      </c>
      <c r="AO33" t="str">
        <f t="shared" si="16"/>
        <v>Medium</v>
      </c>
      <c r="AP33" t="s">
        <v>85</v>
      </c>
      <c r="AQ33" t="s">
        <v>84</v>
      </c>
      <c r="AR33" t="s">
        <v>84</v>
      </c>
      <c r="AS33" t="s">
        <v>85</v>
      </c>
      <c r="AT33" t="s">
        <v>84</v>
      </c>
      <c r="AU33" t="s">
        <v>84</v>
      </c>
      <c r="AV33" t="s">
        <v>84</v>
      </c>
      <c r="AW33">
        <f t="shared" si="8"/>
        <v>4</v>
      </c>
      <c r="AX33">
        <f t="shared" si="9"/>
        <v>71.428571428571431</v>
      </c>
      <c r="AY33" t="str">
        <f t="shared" si="17"/>
        <v>High</v>
      </c>
      <c r="AZ33" t="s">
        <v>85</v>
      </c>
      <c r="BA33" t="s">
        <v>85</v>
      </c>
      <c r="BB33" t="s">
        <v>84</v>
      </c>
      <c r="BC33" t="s">
        <v>84</v>
      </c>
      <c r="BD33" t="s">
        <v>84</v>
      </c>
      <c r="BE33" t="s">
        <v>84</v>
      </c>
      <c r="BF33" t="s">
        <v>84</v>
      </c>
      <c r="BG33" t="s">
        <v>85</v>
      </c>
      <c r="BH33">
        <f t="shared" si="10"/>
        <v>5</v>
      </c>
      <c r="BI33">
        <f t="shared" si="11"/>
        <v>71.428571428571431</v>
      </c>
      <c r="BJ33" t="str">
        <f t="shared" si="18"/>
        <v>High</v>
      </c>
      <c r="BK33" t="s">
        <v>85</v>
      </c>
      <c r="BL33" t="s">
        <v>85</v>
      </c>
      <c r="BM33" t="s">
        <v>85</v>
      </c>
      <c r="BN33" t="s">
        <v>85</v>
      </c>
      <c r="BO33">
        <f t="shared" si="12"/>
        <v>0</v>
      </c>
      <c r="BP33">
        <f t="shared" si="13"/>
        <v>0</v>
      </c>
      <c r="BQ33" t="str">
        <f t="shared" si="14"/>
        <v>Low</v>
      </c>
      <c r="BR33">
        <f t="shared" si="19"/>
        <v>54.838709677419352</v>
      </c>
      <c r="BS33">
        <f t="shared" si="20"/>
        <v>17</v>
      </c>
      <c r="BT33" t="str">
        <f t="shared" si="21"/>
        <v>Moderate</v>
      </c>
      <c r="BU33" t="s">
        <v>105</v>
      </c>
      <c r="BV33" s="13" t="s">
        <v>93</v>
      </c>
      <c r="BW33" s="9">
        <v>2021</v>
      </c>
      <c r="BX33" s="10" t="s">
        <v>109</v>
      </c>
      <c r="BY33" s="8">
        <v>0.1</v>
      </c>
      <c r="BZ33" t="s">
        <v>94</v>
      </c>
      <c r="CA33" s="15"/>
    </row>
    <row r="34" spans="1:79" x14ac:dyDescent="0.25">
      <c r="A34" t="s">
        <v>162</v>
      </c>
      <c r="B34">
        <v>31.365555555555499</v>
      </c>
      <c r="C34">
        <v>109.93388888888801</v>
      </c>
      <c r="D34" s="8">
        <v>1022.72</v>
      </c>
      <c r="E34" s="8" t="str">
        <f t="shared" si="0"/>
        <v>Medium</v>
      </c>
      <c r="F34" t="s">
        <v>96</v>
      </c>
      <c r="G34" t="s">
        <v>97</v>
      </c>
      <c r="H34">
        <v>2013</v>
      </c>
      <c r="I34" t="s">
        <v>103</v>
      </c>
      <c r="J34" t="s">
        <v>10</v>
      </c>
      <c r="K34" t="s">
        <v>163</v>
      </c>
      <c r="L34" t="s">
        <v>83</v>
      </c>
      <c r="M34" t="s">
        <v>84</v>
      </c>
      <c r="N34" t="s">
        <v>84</v>
      </c>
      <c r="O34" t="s">
        <v>84</v>
      </c>
      <c r="P34" t="s">
        <v>84</v>
      </c>
      <c r="Q34" t="s">
        <v>84</v>
      </c>
      <c r="R34" t="s">
        <v>84</v>
      </c>
      <c r="S34" s="8">
        <f t="shared" si="1"/>
        <v>6</v>
      </c>
      <c r="T34" s="8">
        <v>0</v>
      </c>
      <c r="U34" s="8">
        <f t="shared" si="2"/>
        <v>100</v>
      </c>
      <c r="V34" t="str">
        <f t="shared" si="3"/>
        <v>High</v>
      </c>
      <c r="X34" t="s">
        <v>84</v>
      </c>
      <c r="Y34" t="s">
        <v>84</v>
      </c>
      <c r="Z34" t="s">
        <v>84</v>
      </c>
      <c r="AA34" t="s">
        <v>84</v>
      </c>
      <c r="AB34" t="s">
        <v>84</v>
      </c>
      <c r="AC34" t="s">
        <v>84</v>
      </c>
      <c r="AD34">
        <f t="shared" si="4"/>
        <v>6</v>
      </c>
      <c r="AE34">
        <f t="shared" si="5"/>
        <v>85.714285714285708</v>
      </c>
      <c r="AF34" t="str">
        <f t="shared" si="15"/>
        <v>High</v>
      </c>
      <c r="AG34" t="s">
        <v>84</v>
      </c>
      <c r="AH34" t="s">
        <v>84</v>
      </c>
      <c r="AI34" t="s">
        <v>84</v>
      </c>
      <c r="AJ34" t="s">
        <v>84</v>
      </c>
      <c r="AK34" t="s">
        <v>84</v>
      </c>
      <c r="AL34" t="s">
        <v>84</v>
      </c>
      <c r="AM34">
        <f t="shared" si="6"/>
        <v>6</v>
      </c>
      <c r="AN34">
        <f t="shared" si="7"/>
        <v>85.714285714285708</v>
      </c>
      <c r="AO34" t="str">
        <f t="shared" si="16"/>
        <v>High</v>
      </c>
      <c r="AP34" t="s">
        <v>84</v>
      </c>
      <c r="AQ34" t="s">
        <v>84</v>
      </c>
      <c r="AR34" t="s">
        <v>84</v>
      </c>
      <c r="AS34" t="s">
        <v>84</v>
      </c>
      <c r="AT34" t="s">
        <v>84</v>
      </c>
      <c r="AU34" t="s">
        <v>84</v>
      </c>
      <c r="AV34" t="s">
        <v>84</v>
      </c>
      <c r="AW34">
        <f t="shared" si="8"/>
        <v>6</v>
      </c>
      <c r="AX34">
        <f t="shared" si="9"/>
        <v>100</v>
      </c>
      <c r="AY34" t="str">
        <f t="shared" si="17"/>
        <v>High</v>
      </c>
      <c r="AZ34" t="s">
        <v>84</v>
      </c>
      <c r="BA34" t="s">
        <v>84</v>
      </c>
      <c r="BB34" t="s">
        <v>84</v>
      </c>
      <c r="BC34" t="s">
        <v>84</v>
      </c>
      <c r="BD34" t="s">
        <v>84</v>
      </c>
      <c r="BE34" t="s">
        <v>84</v>
      </c>
      <c r="BF34" t="s">
        <v>84</v>
      </c>
      <c r="BG34" t="s">
        <v>84</v>
      </c>
      <c r="BH34">
        <f t="shared" si="10"/>
        <v>8</v>
      </c>
      <c r="BI34">
        <f t="shared" si="11"/>
        <v>114.28571428571428</v>
      </c>
      <c r="BJ34" t="str">
        <f t="shared" si="18"/>
        <v>High</v>
      </c>
      <c r="BK34" t="s">
        <v>85</v>
      </c>
      <c r="BL34" t="s">
        <v>84</v>
      </c>
      <c r="BM34" t="s">
        <v>85</v>
      </c>
      <c r="BN34" t="s">
        <v>84</v>
      </c>
      <c r="BO34">
        <f t="shared" si="12"/>
        <v>2</v>
      </c>
      <c r="BP34">
        <f t="shared" si="13"/>
        <v>28.571428571428569</v>
      </c>
      <c r="BQ34" t="str">
        <f t="shared" si="14"/>
        <v>Low</v>
      </c>
      <c r="BR34">
        <f t="shared" si="19"/>
        <v>93.548387096774192</v>
      </c>
      <c r="BS34">
        <f t="shared" si="20"/>
        <v>29</v>
      </c>
      <c r="BT34" t="str">
        <f t="shared" si="21"/>
        <v>High</v>
      </c>
      <c r="BU34" t="s">
        <v>92</v>
      </c>
      <c r="BV34" s="13" t="s">
        <v>99</v>
      </c>
      <c r="BW34" s="9">
        <v>2017</v>
      </c>
      <c r="BX34" s="10" t="s">
        <v>100</v>
      </c>
      <c r="BZ34" t="s">
        <v>101</v>
      </c>
    </row>
    <row r="35" spans="1:79" x14ac:dyDescent="0.25">
      <c r="A35" t="s">
        <v>164</v>
      </c>
      <c r="B35">
        <v>45.607500000000002</v>
      </c>
      <c r="C35">
        <v>23.378888888888799</v>
      </c>
      <c r="D35" s="8">
        <v>1024</v>
      </c>
      <c r="E35" s="8" t="str">
        <f t="shared" si="0"/>
        <v>Medium</v>
      </c>
      <c r="F35" t="s">
        <v>79</v>
      </c>
      <c r="G35" t="s">
        <v>165</v>
      </c>
      <c r="H35">
        <v>2005</v>
      </c>
      <c r="I35" t="s">
        <v>81</v>
      </c>
      <c r="J35" t="s">
        <v>82</v>
      </c>
      <c r="L35" s="12" t="s">
        <v>83</v>
      </c>
      <c r="M35" t="s">
        <v>84</v>
      </c>
      <c r="N35" t="s">
        <v>85</v>
      </c>
      <c r="O35" t="s">
        <v>84</v>
      </c>
      <c r="P35" t="s">
        <v>84</v>
      </c>
      <c r="Q35" s="12" t="s">
        <v>84</v>
      </c>
      <c r="R35" t="s">
        <v>84</v>
      </c>
      <c r="S35" s="8">
        <f t="shared" si="1"/>
        <v>5</v>
      </c>
      <c r="T35" s="8">
        <v>0</v>
      </c>
      <c r="U35" s="8">
        <f t="shared" si="2"/>
        <v>83.333333333333343</v>
      </c>
      <c r="V35" t="str">
        <f t="shared" si="3"/>
        <v>High</v>
      </c>
      <c r="X35" t="s">
        <v>84</v>
      </c>
      <c r="Y35" t="s">
        <v>84</v>
      </c>
      <c r="Z35" t="s">
        <v>84</v>
      </c>
      <c r="AA35" t="s">
        <v>84</v>
      </c>
      <c r="AB35" t="s">
        <v>85</v>
      </c>
      <c r="AC35" t="s">
        <v>85</v>
      </c>
      <c r="AD35">
        <f t="shared" si="4"/>
        <v>4</v>
      </c>
      <c r="AE35">
        <f t="shared" si="5"/>
        <v>57.142857142857139</v>
      </c>
      <c r="AF35" t="str">
        <f t="shared" si="15"/>
        <v>Medium</v>
      </c>
      <c r="AG35" t="s">
        <v>84</v>
      </c>
      <c r="AH35" t="s">
        <v>84</v>
      </c>
      <c r="AI35" s="12" t="s">
        <v>84</v>
      </c>
      <c r="AJ35" s="12" t="s">
        <v>84</v>
      </c>
      <c r="AK35" t="s">
        <v>84</v>
      </c>
      <c r="AL35" t="s">
        <v>84</v>
      </c>
      <c r="AM35">
        <f t="shared" si="6"/>
        <v>6</v>
      </c>
      <c r="AN35">
        <f t="shared" si="7"/>
        <v>85.714285714285708</v>
      </c>
      <c r="AO35" t="str">
        <f t="shared" si="16"/>
        <v>High</v>
      </c>
      <c r="AP35" t="s">
        <v>84</v>
      </c>
      <c r="AQ35" s="12" t="s">
        <v>84</v>
      </c>
      <c r="AR35" t="s">
        <v>84</v>
      </c>
      <c r="AS35" t="s">
        <v>84</v>
      </c>
      <c r="AT35" t="s">
        <v>84</v>
      </c>
      <c r="AU35" s="12" t="s">
        <v>84</v>
      </c>
      <c r="AV35" t="s">
        <v>84</v>
      </c>
      <c r="AW35">
        <f t="shared" si="8"/>
        <v>6</v>
      </c>
      <c r="AX35">
        <f t="shared" si="9"/>
        <v>100</v>
      </c>
      <c r="AY35" t="str">
        <f t="shared" si="17"/>
        <v>High</v>
      </c>
      <c r="AZ35" s="12" t="s">
        <v>84</v>
      </c>
      <c r="BA35" s="12" t="s">
        <v>84</v>
      </c>
      <c r="BB35" t="s">
        <v>84</v>
      </c>
      <c r="BC35" s="12" t="s">
        <v>84</v>
      </c>
      <c r="BD35" t="s">
        <v>84</v>
      </c>
      <c r="BE35" t="s">
        <v>84</v>
      </c>
      <c r="BF35" t="s">
        <v>85</v>
      </c>
      <c r="BG35" t="s">
        <v>84</v>
      </c>
      <c r="BH35">
        <f t="shared" si="10"/>
        <v>7</v>
      </c>
      <c r="BI35">
        <f t="shared" si="11"/>
        <v>100</v>
      </c>
      <c r="BJ35" t="str">
        <f t="shared" si="18"/>
        <v>High</v>
      </c>
      <c r="BK35" t="s">
        <v>84</v>
      </c>
      <c r="BL35" t="s">
        <v>84</v>
      </c>
      <c r="BM35" s="12" t="s">
        <v>84</v>
      </c>
      <c r="BN35" t="s">
        <v>84</v>
      </c>
      <c r="BO35">
        <f t="shared" si="12"/>
        <v>4</v>
      </c>
      <c r="BP35">
        <f t="shared" si="13"/>
        <v>57.142857142857139</v>
      </c>
      <c r="BQ35" t="str">
        <f t="shared" si="14"/>
        <v>Medium</v>
      </c>
      <c r="BR35">
        <f t="shared" si="19"/>
        <v>90.322580645161281</v>
      </c>
      <c r="BS35">
        <f t="shared" si="20"/>
        <v>28</v>
      </c>
      <c r="BT35" t="str">
        <f t="shared" si="21"/>
        <v>High</v>
      </c>
      <c r="BU35" t="s">
        <v>92</v>
      </c>
      <c r="BV35" s="13" t="s">
        <v>93</v>
      </c>
      <c r="BW35" s="9">
        <v>2018</v>
      </c>
      <c r="BX35" s="10" t="s">
        <v>100</v>
      </c>
      <c r="BY35" s="8">
        <v>0.2</v>
      </c>
      <c r="BZ35" t="s">
        <v>94</v>
      </c>
    </row>
    <row r="36" spans="1:79" x14ac:dyDescent="0.25">
      <c r="A36" t="s">
        <v>166</v>
      </c>
      <c r="B36">
        <v>39.165833333333303</v>
      </c>
      <c r="C36">
        <v>114.613333333333</v>
      </c>
      <c r="D36" s="8">
        <v>1045</v>
      </c>
      <c r="E36" s="8" t="str">
        <f t="shared" si="0"/>
        <v>Medium</v>
      </c>
      <c r="F36" t="s">
        <v>96</v>
      </c>
      <c r="G36" t="s">
        <v>97</v>
      </c>
      <c r="H36">
        <v>2006</v>
      </c>
      <c r="I36" t="s">
        <v>81</v>
      </c>
      <c r="J36" t="s">
        <v>10</v>
      </c>
      <c r="L36" t="s">
        <v>83</v>
      </c>
      <c r="M36" t="s">
        <v>85</v>
      </c>
      <c r="N36" t="s">
        <v>84</v>
      </c>
      <c r="O36" t="s">
        <v>84</v>
      </c>
      <c r="P36" t="s">
        <v>84</v>
      </c>
      <c r="Q36" t="s">
        <v>84</v>
      </c>
      <c r="R36" t="s">
        <v>85</v>
      </c>
      <c r="S36" s="8">
        <f t="shared" si="1"/>
        <v>4</v>
      </c>
      <c r="T36" s="8">
        <v>0</v>
      </c>
      <c r="U36" s="8">
        <f t="shared" si="2"/>
        <v>66.666666666666657</v>
      </c>
      <c r="V36" t="str">
        <f t="shared" si="3"/>
        <v>Medium</v>
      </c>
      <c r="X36" t="s">
        <v>84</v>
      </c>
      <c r="Y36" t="s">
        <v>84</v>
      </c>
      <c r="Z36" t="s">
        <v>84</v>
      </c>
      <c r="AA36" t="s">
        <v>84</v>
      </c>
      <c r="AB36" t="s">
        <v>84</v>
      </c>
      <c r="AC36" t="s">
        <v>84</v>
      </c>
      <c r="AD36">
        <f t="shared" si="4"/>
        <v>6</v>
      </c>
      <c r="AE36">
        <f t="shared" si="5"/>
        <v>85.714285714285708</v>
      </c>
      <c r="AF36" t="str">
        <f t="shared" si="15"/>
        <v>High</v>
      </c>
      <c r="AG36" t="s">
        <v>84</v>
      </c>
      <c r="AH36" t="s">
        <v>84</v>
      </c>
      <c r="AI36" t="s">
        <v>84</v>
      </c>
      <c r="AJ36" t="s">
        <v>84</v>
      </c>
      <c r="AK36" t="s">
        <v>84</v>
      </c>
      <c r="AL36" t="s">
        <v>84</v>
      </c>
      <c r="AM36">
        <f t="shared" si="6"/>
        <v>6</v>
      </c>
      <c r="AN36">
        <f t="shared" si="7"/>
        <v>85.714285714285708</v>
      </c>
      <c r="AO36" t="str">
        <f t="shared" si="16"/>
        <v>High</v>
      </c>
      <c r="AP36" t="s">
        <v>84</v>
      </c>
      <c r="AQ36" t="s">
        <v>84</v>
      </c>
      <c r="AR36" t="s">
        <v>84</v>
      </c>
      <c r="AS36" t="s">
        <v>84</v>
      </c>
      <c r="AT36" t="s">
        <v>84</v>
      </c>
      <c r="AU36" t="s">
        <v>84</v>
      </c>
      <c r="AV36" t="s">
        <v>84</v>
      </c>
      <c r="AW36">
        <f t="shared" si="8"/>
        <v>6</v>
      </c>
      <c r="AX36">
        <f t="shared" si="9"/>
        <v>100</v>
      </c>
      <c r="AY36" t="str">
        <f t="shared" si="17"/>
        <v>High</v>
      </c>
      <c r="AZ36" t="s">
        <v>84</v>
      </c>
      <c r="BA36" t="s">
        <v>84</v>
      </c>
      <c r="BB36" t="s">
        <v>84</v>
      </c>
      <c r="BC36" t="s">
        <v>84</v>
      </c>
      <c r="BD36" t="s">
        <v>84</v>
      </c>
      <c r="BE36" t="s">
        <v>84</v>
      </c>
      <c r="BF36" t="s">
        <v>84</v>
      </c>
      <c r="BG36" t="s">
        <v>84</v>
      </c>
      <c r="BH36">
        <f t="shared" si="10"/>
        <v>8</v>
      </c>
      <c r="BI36">
        <f t="shared" si="11"/>
        <v>114.28571428571428</v>
      </c>
      <c r="BJ36" t="str">
        <f t="shared" si="18"/>
        <v>High</v>
      </c>
      <c r="BK36" t="s">
        <v>84</v>
      </c>
      <c r="BL36" t="s">
        <v>84</v>
      </c>
      <c r="BM36" t="s">
        <v>84</v>
      </c>
      <c r="BN36" t="s">
        <v>84</v>
      </c>
      <c r="BO36">
        <f t="shared" si="12"/>
        <v>4</v>
      </c>
      <c r="BP36">
        <f t="shared" si="13"/>
        <v>57.142857142857139</v>
      </c>
      <c r="BQ36" t="str">
        <f t="shared" si="14"/>
        <v>Medium</v>
      </c>
      <c r="BR36">
        <f t="shared" si="19"/>
        <v>100</v>
      </c>
      <c r="BS36">
        <f t="shared" si="20"/>
        <v>31</v>
      </c>
      <c r="BT36" t="str">
        <f t="shared" si="21"/>
        <v>High</v>
      </c>
      <c r="BU36" t="s">
        <v>105</v>
      </c>
      <c r="BV36" s="13" t="s">
        <v>99</v>
      </c>
      <c r="BW36" s="9">
        <v>2018</v>
      </c>
      <c r="BX36" s="10" t="s">
        <v>100</v>
      </c>
      <c r="BY36" s="8"/>
      <c r="BZ36" t="s">
        <v>87</v>
      </c>
    </row>
    <row r="37" spans="1:79" x14ac:dyDescent="0.25">
      <c r="A37" t="s">
        <v>167</v>
      </c>
      <c r="B37">
        <v>35.134166666666601</v>
      </c>
      <c r="C37">
        <v>126.95555555555499</v>
      </c>
      <c r="D37" s="8">
        <v>1051</v>
      </c>
      <c r="E37" s="8" t="str">
        <f t="shared" si="0"/>
        <v>Medium</v>
      </c>
      <c r="F37" t="s">
        <v>96</v>
      </c>
      <c r="G37" t="s">
        <v>168</v>
      </c>
      <c r="H37">
        <v>2018</v>
      </c>
      <c r="I37" t="s">
        <v>98</v>
      </c>
      <c r="J37" t="s">
        <v>82</v>
      </c>
      <c r="L37" t="s">
        <v>83</v>
      </c>
      <c r="M37" t="s">
        <v>85</v>
      </c>
      <c r="N37" t="s">
        <v>85</v>
      </c>
      <c r="O37" t="s">
        <v>85</v>
      </c>
      <c r="P37" t="s">
        <v>85</v>
      </c>
      <c r="Q37" t="s">
        <v>84</v>
      </c>
      <c r="R37" t="s">
        <v>85</v>
      </c>
      <c r="S37" s="8">
        <f t="shared" si="1"/>
        <v>1</v>
      </c>
      <c r="T37" s="8">
        <v>0</v>
      </c>
      <c r="U37" s="8">
        <f t="shared" si="2"/>
        <v>16.666666666666664</v>
      </c>
      <c r="V37" t="str">
        <f t="shared" si="3"/>
        <v>Low</v>
      </c>
      <c r="X37" t="s">
        <v>86</v>
      </c>
      <c r="Y37" t="s">
        <v>86</v>
      </c>
      <c r="Z37" t="s">
        <v>86</v>
      </c>
      <c r="AA37" t="s">
        <v>86</v>
      </c>
      <c r="AB37" t="s">
        <v>86</v>
      </c>
      <c r="AC37" t="s">
        <v>86</v>
      </c>
      <c r="AD37">
        <f t="shared" si="4"/>
        <v>0</v>
      </c>
      <c r="AE37">
        <f t="shared" si="5"/>
        <v>0</v>
      </c>
      <c r="AF37" t="s">
        <v>86</v>
      </c>
      <c r="AG37" t="s">
        <v>86</v>
      </c>
      <c r="AH37" t="s">
        <v>86</v>
      </c>
      <c r="AI37" t="s">
        <v>86</v>
      </c>
      <c r="AJ37" t="s">
        <v>86</v>
      </c>
      <c r="AK37" t="s">
        <v>86</v>
      </c>
      <c r="AL37" t="s">
        <v>86</v>
      </c>
      <c r="AM37">
        <f t="shared" si="6"/>
        <v>0</v>
      </c>
      <c r="AN37">
        <f t="shared" si="7"/>
        <v>0</v>
      </c>
      <c r="AO37" t="s">
        <v>86</v>
      </c>
      <c r="AP37" t="s">
        <v>86</v>
      </c>
      <c r="AQ37" t="s">
        <v>86</v>
      </c>
      <c r="AR37" t="s">
        <v>86</v>
      </c>
      <c r="AS37" t="s">
        <v>86</v>
      </c>
      <c r="AT37" t="s">
        <v>86</v>
      </c>
      <c r="AU37" t="s">
        <v>86</v>
      </c>
      <c r="AV37" t="s">
        <v>86</v>
      </c>
      <c r="AW37">
        <f t="shared" si="8"/>
        <v>0</v>
      </c>
      <c r="AX37">
        <f t="shared" si="9"/>
        <v>0</v>
      </c>
      <c r="AY37" t="s">
        <v>86</v>
      </c>
      <c r="AZ37" t="s">
        <v>86</v>
      </c>
      <c r="BA37" t="s">
        <v>86</v>
      </c>
      <c r="BB37" t="s">
        <v>86</v>
      </c>
      <c r="BC37" t="s">
        <v>86</v>
      </c>
      <c r="BD37" t="s">
        <v>86</v>
      </c>
      <c r="BE37" t="s">
        <v>86</v>
      </c>
      <c r="BF37" t="s">
        <v>86</v>
      </c>
      <c r="BG37" t="s">
        <v>86</v>
      </c>
      <c r="BH37">
        <f t="shared" si="10"/>
        <v>0</v>
      </c>
      <c r="BI37">
        <f t="shared" si="11"/>
        <v>0</v>
      </c>
      <c r="BJ37" t="s">
        <v>86</v>
      </c>
      <c r="BK37" t="s">
        <v>86</v>
      </c>
      <c r="BL37" t="s">
        <v>86</v>
      </c>
      <c r="BM37" t="s">
        <v>86</v>
      </c>
      <c r="BN37" t="s">
        <v>86</v>
      </c>
      <c r="BO37">
        <f t="shared" si="12"/>
        <v>0</v>
      </c>
      <c r="BP37">
        <f t="shared" si="13"/>
        <v>0</v>
      </c>
      <c r="BQ37" t="str">
        <f t="shared" si="14"/>
        <v>Low</v>
      </c>
      <c r="BR37" t="s">
        <v>86</v>
      </c>
      <c r="BS37" t="s">
        <v>86</v>
      </c>
      <c r="BT37" t="s">
        <v>86</v>
      </c>
      <c r="BU37" t="s">
        <v>87</v>
      </c>
      <c r="BV37" t="s">
        <v>87</v>
      </c>
      <c r="BW37" s="9">
        <v>2022</v>
      </c>
      <c r="BX37" s="10" t="s">
        <v>88</v>
      </c>
      <c r="BY37" s="8"/>
      <c r="BZ37" t="s">
        <v>87</v>
      </c>
    </row>
    <row r="38" spans="1:79" x14ac:dyDescent="0.25">
      <c r="A38" t="s">
        <v>169</v>
      </c>
      <c r="B38">
        <v>46.504166669999996</v>
      </c>
      <c r="C38">
        <v>14.772500000000001</v>
      </c>
      <c r="D38" s="8">
        <v>1067</v>
      </c>
      <c r="E38" s="8" t="str">
        <f t="shared" si="0"/>
        <v>Medium</v>
      </c>
      <c r="F38" t="s">
        <v>79</v>
      </c>
      <c r="G38" t="s">
        <v>170</v>
      </c>
      <c r="H38">
        <v>2013</v>
      </c>
      <c r="I38" t="s">
        <v>103</v>
      </c>
      <c r="J38" t="s">
        <v>82</v>
      </c>
      <c r="L38" t="s">
        <v>104</v>
      </c>
      <c r="M38" t="s">
        <v>84</v>
      </c>
      <c r="N38" t="s">
        <v>84</v>
      </c>
      <c r="O38" t="s">
        <v>84</v>
      </c>
      <c r="P38" t="s">
        <v>84</v>
      </c>
      <c r="Q38" t="s">
        <v>84</v>
      </c>
      <c r="R38" t="s">
        <v>84</v>
      </c>
      <c r="S38" s="8">
        <f t="shared" si="1"/>
        <v>6</v>
      </c>
      <c r="T38" s="8">
        <v>0</v>
      </c>
      <c r="U38" s="8">
        <f t="shared" si="2"/>
        <v>100</v>
      </c>
      <c r="V38" t="str">
        <f t="shared" si="3"/>
        <v>High</v>
      </c>
      <c r="X38" t="s">
        <v>86</v>
      </c>
      <c r="Y38" t="s">
        <v>86</v>
      </c>
      <c r="Z38" t="s">
        <v>86</v>
      </c>
      <c r="AA38" t="s">
        <v>86</v>
      </c>
      <c r="AB38" t="s">
        <v>86</v>
      </c>
      <c r="AC38" t="s">
        <v>86</v>
      </c>
      <c r="AD38">
        <f t="shared" si="4"/>
        <v>0</v>
      </c>
      <c r="AE38">
        <f t="shared" si="5"/>
        <v>0</v>
      </c>
      <c r="AF38" t="s">
        <v>86</v>
      </c>
      <c r="AG38" t="s">
        <v>86</v>
      </c>
      <c r="AH38" t="s">
        <v>86</v>
      </c>
      <c r="AI38" t="s">
        <v>86</v>
      </c>
      <c r="AJ38" t="s">
        <v>86</v>
      </c>
      <c r="AK38" t="s">
        <v>86</v>
      </c>
      <c r="AL38" t="s">
        <v>86</v>
      </c>
      <c r="AM38">
        <f t="shared" si="6"/>
        <v>0</v>
      </c>
      <c r="AN38">
        <f t="shared" si="7"/>
        <v>0</v>
      </c>
      <c r="AO38" t="s">
        <v>86</v>
      </c>
      <c r="AP38" t="s">
        <v>86</v>
      </c>
      <c r="AQ38" t="s">
        <v>86</v>
      </c>
      <c r="AR38" t="s">
        <v>86</v>
      </c>
      <c r="AS38" t="s">
        <v>86</v>
      </c>
      <c r="AT38" t="s">
        <v>86</v>
      </c>
      <c r="AU38" t="s">
        <v>86</v>
      </c>
      <c r="AV38" t="s">
        <v>86</v>
      </c>
      <c r="AW38">
        <f t="shared" si="8"/>
        <v>0</v>
      </c>
      <c r="AX38">
        <f t="shared" si="9"/>
        <v>0</v>
      </c>
      <c r="AY38" t="s">
        <v>86</v>
      </c>
      <c r="AZ38" t="s">
        <v>86</v>
      </c>
      <c r="BA38" t="s">
        <v>86</v>
      </c>
      <c r="BB38" t="s">
        <v>86</v>
      </c>
      <c r="BC38" t="s">
        <v>86</v>
      </c>
      <c r="BD38" t="s">
        <v>86</v>
      </c>
      <c r="BE38" t="s">
        <v>86</v>
      </c>
      <c r="BF38" t="s">
        <v>86</v>
      </c>
      <c r="BG38" t="s">
        <v>86</v>
      </c>
      <c r="BH38">
        <f t="shared" si="10"/>
        <v>0</v>
      </c>
      <c r="BI38">
        <f t="shared" si="11"/>
        <v>0</v>
      </c>
      <c r="BJ38" t="s">
        <v>86</v>
      </c>
      <c r="BK38" t="s">
        <v>86</v>
      </c>
      <c r="BL38" t="s">
        <v>86</v>
      </c>
      <c r="BM38" t="s">
        <v>86</v>
      </c>
      <c r="BN38" t="s">
        <v>86</v>
      </c>
      <c r="BO38">
        <f t="shared" si="12"/>
        <v>0</v>
      </c>
      <c r="BP38">
        <f t="shared" si="13"/>
        <v>0</v>
      </c>
      <c r="BQ38" t="str">
        <f t="shared" si="14"/>
        <v>Low</v>
      </c>
      <c r="BR38" t="s">
        <v>86</v>
      </c>
      <c r="BS38" t="s">
        <v>86</v>
      </c>
      <c r="BT38" t="s">
        <v>86</v>
      </c>
      <c r="BU38" t="s">
        <v>87</v>
      </c>
      <c r="BV38" t="s">
        <v>87</v>
      </c>
      <c r="BW38" s="9">
        <v>2021</v>
      </c>
      <c r="BX38" s="10" t="s">
        <v>109</v>
      </c>
      <c r="BY38" s="8"/>
      <c r="BZ38" t="s">
        <v>87</v>
      </c>
    </row>
    <row r="39" spans="1:79" x14ac:dyDescent="0.25">
      <c r="A39" t="s">
        <v>171</v>
      </c>
      <c r="B39">
        <v>34.980277780000002</v>
      </c>
      <c r="C39">
        <v>32.846111110000002</v>
      </c>
      <c r="D39" s="8">
        <v>1147</v>
      </c>
      <c r="E39" s="8" t="str">
        <f t="shared" si="0"/>
        <v>Medium</v>
      </c>
      <c r="F39" t="s">
        <v>79</v>
      </c>
      <c r="G39" t="s">
        <v>172</v>
      </c>
      <c r="H39">
        <v>2015</v>
      </c>
      <c r="I39" t="s">
        <v>98</v>
      </c>
      <c r="J39" t="s">
        <v>91</v>
      </c>
      <c r="L39" t="s">
        <v>121</v>
      </c>
      <c r="M39" t="s">
        <v>85</v>
      </c>
      <c r="N39" t="s">
        <v>85</v>
      </c>
      <c r="O39" t="s">
        <v>85</v>
      </c>
      <c r="P39" t="s">
        <v>84</v>
      </c>
      <c r="Q39" t="s">
        <v>84</v>
      </c>
      <c r="R39" t="s">
        <v>85</v>
      </c>
      <c r="S39" s="8">
        <f t="shared" si="1"/>
        <v>2</v>
      </c>
      <c r="T39" s="8">
        <v>0</v>
      </c>
      <c r="U39" s="8">
        <f t="shared" si="2"/>
        <v>33.333333333333329</v>
      </c>
      <c r="V39" t="str">
        <f t="shared" si="3"/>
        <v>Medium</v>
      </c>
      <c r="X39" t="s">
        <v>84</v>
      </c>
      <c r="Y39" t="s">
        <v>84</v>
      </c>
      <c r="Z39" t="s">
        <v>84</v>
      </c>
      <c r="AA39" t="s">
        <v>84</v>
      </c>
      <c r="AB39" t="s">
        <v>84</v>
      </c>
      <c r="AC39" t="s">
        <v>84</v>
      </c>
      <c r="AD39">
        <f t="shared" si="4"/>
        <v>6</v>
      </c>
      <c r="AE39">
        <f t="shared" si="5"/>
        <v>85.714285714285708</v>
      </c>
      <c r="AF39" t="str">
        <f t="shared" ref="AF39:AF90" si="22">IF(AE39 &lt;= 33.3, "Low", IF(AE39 &lt;= 66.7, "Medium", "High"))</f>
        <v>High</v>
      </c>
      <c r="AG39" t="s">
        <v>84</v>
      </c>
      <c r="AH39" t="s">
        <v>85</v>
      </c>
      <c r="AI39" t="s">
        <v>84</v>
      </c>
      <c r="AJ39" t="s">
        <v>84</v>
      </c>
      <c r="AK39" t="s">
        <v>84</v>
      </c>
      <c r="AL39" t="s">
        <v>84</v>
      </c>
      <c r="AM39">
        <f t="shared" si="6"/>
        <v>5</v>
      </c>
      <c r="AN39">
        <f t="shared" si="7"/>
        <v>71.428571428571431</v>
      </c>
      <c r="AO39" t="str">
        <f t="shared" ref="AO39:AO90" si="23">IF(AN39 &lt;= 33.3, "Low", IF(AN39 &lt;= 66.7, "Medium", "High"))</f>
        <v>High</v>
      </c>
      <c r="AP39" t="s">
        <v>84</v>
      </c>
      <c r="AQ39" t="s">
        <v>85</v>
      </c>
      <c r="AR39" t="s">
        <v>85</v>
      </c>
      <c r="AS39" t="s">
        <v>84</v>
      </c>
      <c r="AT39" t="s">
        <v>85</v>
      </c>
      <c r="AU39" t="s">
        <v>85</v>
      </c>
      <c r="AV39" t="s">
        <v>84</v>
      </c>
      <c r="AW39">
        <f t="shared" si="8"/>
        <v>2</v>
      </c>
      <c r="AX39">
        <f t="shared" si="9"/>
        <v>42.857142857142854</v>
      </c>
      <c r="AY39" t="str">
        <f t="shared" ref="AY39:AY90" si="24">IF(AX39 &lt;= 33.3, "Low", IF(AX39 &lt;= 66.7, "Medium", "High"))</f>
        <v>Medium</v>
      </c>
      <c r="AZ39" t="s">
        <v>84</v>
      </c>
      <c r="BA39" t="s">
        <v>84</v>
      </c>
      <c r="BB39" t="s">
        <v>84</v>
      </c>
      <c r="BC39" t="s">
        <v>84</v>
      </c>
      <c r="BD39" t="s">
        <v>84</v>
      </c>
      <c r="BE39" t="s">
        <v>84</v>
      </c>
      <c r="BF39" t="s">
        <v>84</v>
      </c>
      <c r="BG39" t="s">
        <v>84</v>
      </c>
      <c r="BH39">
        <f t="shared" si="10"/>
        <v>8</v>
      </c>
      <c r="BI39">
        <f t="shared" si="11"/>
        <v>114.28571428571428</v>
      </c>
      <c r="BJ39" t="str">
        <f t="shared" ref="BJ39:BJ90" si="25">IF(BI39 &lt;= 33.3, "Low", IF(BI39 &lt;= 66.7, "Medium", "High"))</f>
        <v>High</v>
      </c>
      <c r="BK39" t="s">
        <v>84</v>
      </c>
      <c r="BL39" t="s">
        <v>85</v>
      </c>
      <c r="BM39" t="s">
        <v>84</v>
      </c>
      <c r="BN39" t="s">
        <v>84</v>
      </c>
      <c r="BO39">
        <f t="shared" si="12"/>
        <v>3</v>
      </c>
      <c r="BP39">
        <f t="shared" si="13"/>
        <v>42.857142857142854</v>
      </c>
      <c r="BQ39" t="str">
        <f t="shared" si="14"/>
        <v>Medium</v>
      </c>
      <c r="BR39">
        <f t="shared" ref="BR39:BR90" si="26">((COUNTIF(X39:AC39, "Yes") + COUNTIF(AG39:AL39, "Yes") + COUNTIF(AP39:AV39, "Yes") + COUNTIF(AZ39:BG39, "Yes") + COUNTIF(BK39:BN39, "Yes")) / 31) *100</f>
        <v>80.645161290322577</v>
      </c>
      <c r="BS39">
        <f t="shared" ref="BS39:BS90" si="27">COUNTIF(X39:AC39, "Yes") + COUNTIF(AG39:AL39, "Yes") + COUNTIF(AP39:AV39, "Yes") + COUNTIF(AZ39:BG39, "Yes") + COUNTIF(BK39:BN39, "Yes")</f>
        <v>25</v>
      </c>
      <c r="BT39" t="str">
        <f t="shared" ref="BT39:BT90" si="28">IF(BR39 &lt;= 33, "Low", IF(BR39 &lt;= 66, "Moderate", "High"))</f>
        <v>High</v>
      </c>
      <c r="BU39" t="s">
        <v>92</v>
      </c>
      <c r="BV39" s="13" t="s">
        <v>88</v>
      </c>
      <c r="BW39" s="9">
        <v>2023</v>
      </c>
      <c r="BX39" s="10" t="s">
        <v>88</v>
      </c>
      <c r="BZ39" t="s">
        <v>101</v>
      </c>
    </row>
    <row r="40" spans="1:79" x14ac:dyDescent="0.25">
      <c r="A40" t="s">
        <v>173</v>
      </c>
      <c r="B40">
        <v>48.588611111111099</v>
      </c>
      <c r="C40">
        <v>-53.4155555555555</v>
      </c>
      <c r="D40" s="8">
        <v>1150</v>
      </c>
      <c r="E40" s="8" t="str">
        <f t="shared" si="0"/>
        <v>Medium</v>
      </c>
      <c r="F40" t="s">
        <v>138</v>
      </c>
      <c r="G40" t="s">
        <v>139</v>
      </c>
      <c r="H40">
        <v>2020</v>
      </c>
      <c r="I40" t="s">
        <v>98</v>
      </c>
      <c r="J40" t="s">
        <v>82</v>
      </c>
      <c r="L40" t="s">
        <v>128</v>
      </c>
      <c r="M40" t="s">
        <v>84</v>
      </c>
      <c r="N40" t="s">
        <v>85</v>
      </c>
      <c r="O40" t="s">
        <v>85</v>
      </c>
      <c r="P40" t="s">
        <v>84</v>
      </c>
      <c r="Q40" t="s">
        <v>84</v>
      </c>
      <c r="R40" t="s">
        <v>84</v>
      </c>
      <c r="S40" s="8">
        <f t="shared" si="1"/>
        <v>4</v>
      </c>
      <c r="T40" s="8">
        <v>0</v>
      </c>
      <c r="U40" s="8">
        <f t="shared" si="2"/>
        <v>66.666666666666657</v>
      </c>
      <c r="V40" t="str">
        <f t="shared" si="3"/>
        <v>Medium</v>
      </c>
      <c r="X40" t="s">
        <v>85</v>
      </c>
      <c r="Y40" t="s">
        <v>84</v>
      </c>
      <c r="Z40" t="s">
        <v>84</v>
      </c>
      <c r="AA40" t="s">
        <v>85</v>
      </c>
      <c r="AB40" t="s">
        <v>85</v>
      </c>
      <c r="AC40" t="s">
        <v>85</v>
      </c>
      <c r="AD40">
        <f t="shared" si="4"/>
        <v>2</v>
      </c>
      <c r="AE40">
        <f t="shared" si="5"/>
        <v>28.571428571428569</v>
      </c>
      <c r="AF40" t="str">
        <f t="shared" si="22"/>
        <v>Low</v>
      </c>
      <c r="AG40" t="s">
        <v>85</v>
      </c>
      <c r="AH40" t="s">
        <v>85</v>
      </c>
      <c r="AI40" t="s">
        <v>85</v>
      </c>
      <c r="AJ40" t="s">
        <v>84</v>
      </c>
      <c r="AK40" t="s">
        <v>85</v>
      </c>
      <c r="AL40" t="s">
        <v>84</v>
      </c>
      <c r="AM40">
        <f t="shared" si="6"/>
        <v>2</v>
      </c>
      <c r="AN40">
        <f t="shared" si="7"/>
        <v>28.571428571428569</v>
      </c>
      <c r="AO40" t="str">
        <f t="shared" si="23"/>
        <v>Low</v>
      </c>
      <c r="AP40" t="s">
        <v>84</v>
      </c>
      <c r="AQ40" t="s">
        <v>84</v>
      </c>
      <c r="AR40" t="s">
        <v>84</v>
      </c>
      <c r="AS40" t="s">
        <v>85</v>
      </c>
      <c r="AT40" t="s">
        <v>84</v>
      </c>
      <c r="AU40" t="s">
        <v>85</v>
      </c>
      <c r="AV40" t="s">
        <v>85</v>
      </c>
      <c r="AW40">
        <f t="shared" si="8"/>
        <v>4</v>
      </c>
      <c r="AX40">
        <f t="shared" si="9"/>
        <v>57.142857142857139</v>
      </c>
      <c r="AY40" t="str">
        <f t="shared" si="24"/>
        <v>Medium</v>
      </c>
      <c r="AZ40" t="s">
        <v>84</v>
      </c>
      <c r="BA40" t="s">
        <v>85</v>
      </c>
      <c r="BB40" t="s">
        <v>85</v>
      </c>
      <c r="BC40" t="s">
        <v>85</v>
      </c>
      <c r="BD40" t="s">
        <v>85</v>
      </c>
      <c r="BE40" t="s">
        <v>85</v>
      </c>
      <c r="BF40" t="s">
        <v>85</v>
      </c>
      <c r="BG40" t="s">
        <v>85</v>
      </c>
      <c r="BH40">
        <f t="shared" si="10"/>
        <v>1</v>
      </c>
      <c r="BI40">
        <f t="shared" si="11"/>
        <v>14.285714285714285</v>
      </c>
      <c r="BJ40" t="str">
        <f t="shared" si="25"/>
        <v>Low</v>
      </c>
      <c r="BK40" t="s">
        <v>85</v>
      </c>
      <c r="BL40" t="s">
        <v>84</v>
      </c>
      <c r="BM40" t="s">
        <v>85</v>
      </c>
      <c r="BN40" t="s">
        <v>85</v>
      </c>
      <c r="BO40">
        <f t="shared" si="12"/>
        <v>1</v>
      </c>
      <c r="BP40">
        <f t="shared" si="13"/>
        <v>14.285714285714285</v>
      </c>
      <c r="BQ40" t="str">
        <f t="shared" si="14"/>
        <v>Low</v>
      </c>
      <c r="BR40">
        <f t="shared" si="26"/>
        <v>32.258064516129032</v>
      </c>
      <c r="BS40">
        <f t="shared" si="27"/>
        <v>10</v>
      </c>
      <c r="BT40" t="str">
        <f t="shared" si="28"/>
        <v>Low</v>
      </c>
      <c r="BU40" t="s">
        <v>105</v>
      </c>
      <c r="BV40" s="13" t="s">
        <v>88</v>
      </c>
      <c r="BW40" s="9">
        <v>2023</v>
      </c>
      <c r="BX40" s="10" t="s">
        <v>88</v>
      </c>
      <c r="BZ40" t="s">
        <v>101</v>
      </c>
    </row>
    <row r="41" spans="1:79" x14ac:dyDescent="0.25">
      <c r="A41" t="s">
        <v>174</v>
      </c>
      <c r="B41">
        <v>35.2922222222222</v>
      </c>
      <c r="C41">
        <v>24.8813888888888</v>
      </c>
      <c r="D41" s="8">
        <v>1159</v>
      </c>
      <c r="E41" s="8" t="str">
        <f t="shared" si="0"/>
        <v>Medium</v>
      </c>
      <c r="F41" t="s">
        <v>79</v>
      </c>
      <c r="G41" t="s">
        <v>135</v>
      </c>
      <c r="H41">
        <v>2004</v>
      </c>
      <c r="I41" t="s">
        <v>81</v>
      </c>
      <c r="J41" t="s">
        <v>82</v>
      </c>
      <c r="L41" t="s">
        <v>104</v>
      </c>
      <c r="M41" t="s">
        <v>84</v>
      </c>
      <c r="N41" t="s">
        <v>84</v>
      </c>
      <c r="O41" t="s">
        <v>85</v>
      </c>
      <c r="P41" t="s">
        <v>84</v>
      </c>
      <c r="Q41" t="s">
        <v>84</v>
      </c>
      <c r="R41" t="s">
        <v>85</v>
      </c>
      <c r="S41" s="8">
        <f t="shared" si="1"/>
        <v>4</v>
      </c>
      <c r="T41" s="8">
        <v>0</v>
      </c>
      <c r="U41" s="8">
        <f t="shared" si="2"/>
        <v>66.666666666666657</v>
      </c>
      <c r="V41" t="str">
        <f t="shared" si="3"/>
        <v>Medium</v>
      </c>
      <c r="X41" t="s">
        <v>84</v>
      </c>
      <c r="Y41" t="s">
        <v>84</v>
      </c>
      <c r="Z41" t="s">
        <v>84</v>
      </c>
      <c r="AA41" t="s">
        <v>84</v>
      </c>
      <c r="AB41" t="s">
        <v>85</v>
      </c>
      <c r="AC41" t="s">
        <v>85</v>
      </c>
      <c r="AD41">
        <f t="shared" si="4"/>
        <v>4</v>
      </c>
      <c r="AE41">
        <f t="shared" si="5"/>
        <v>57.142857142857139</v>
      </c>
      <c r="AF41" t="str">
        <f t="shared" si="22"/>
        <v>Medium</v>
      </c>
      <c r="AG41" t="s">
        <v>85</v>
      </c>
      <c r="AH41" t="s">
        <v>85</v>
      </c>
      <c r="AI41" t="s">
        <v>84</v>
      </c>
      <c r="AJ41" t="s">
        <v>84</v>
      </c>
      <c r="AK41" t="s">
        <v>84</v>
      </c>
      <c r="AL41" t="s">
        <v>84</v>
      </c>
      <c r="AM41">
        <f t="shared" si="6"/>
        <v>4</v>
      </c>
      <c r="AN41">
        <f t="shared" si="7"/>
        <v>57.142857142857139</v>
      </c>
      <c r="AO41" t="str">
        <f t="shared" si="23"/>
        <v>Medium</v>
      </c>
      <c r="AP41" t="s">
        <v>84</v>
      </c>
      <c r="AQ41" t="s">
        <v>84</v>
      </c>
      <c r="AR41" t="s">
        <v>84</v>
      </c>
      <c r="AS41" t="s">
        <v>84</v>
      </c>
      <c r="AT41" t="s">
        <v>85</v>
      </c>
      <c r="AU41" t="s">
        <v>84</v>
      </c>
      <c r="AV41" t="s">
        <v>84</v>
      </c>
      <c r="AW41">
        <f t="shared" si="8"/>
        <v>5</v>
      </c>
      <c r="AX41">
        <f t="shared" si="9"/>
        <v>85.714285714285708</v>
      </c>
      <c r="AY41" t="str">
        <f t="shared" si="24"/>
        <v>High</v>
      </c>
      <c r="AZ41" t="s">
        <v>84</v>
      </c>
      <c r="BA41" t="s">
        <v>84</v>
      </c>
      <c r="BB41" t="s">
        <v>85</v>
      </c>
      <c r="BC41" t="s">
        <v>84</v>
      </c>
      <c r="BD41" t="s">
        <v>84</v>
      </c>
      <c r="BE41" t="s">
        <v>84</v>
      </c>
      <c r="BF41" t="s">
        <v>85</v>
      </c>
      <c r="BG41" t="s">
        <v>85</v>
      </c>
      <c r="BH41">
        <f t="shared" si="10"/>
        <v>5</v>
      </c>
      <c r="BI41">
        <f t="shared" si="11"/>
        <v>71.428571428571431</v>
      </c>
      <c r="BJ41" t="str">
        <f t="shared" si="25"/>
        <v>High</v>
      </c>
      <c r="BK41" t="s">
        <v>84</v>
      </c>
      <c r="BL41" t="s">
        <v>84</v>
      </c>
      <c r="BM41" t="s">
        <v>84</v>
      </c>
      <c r="BN41" t="s">
        <v>84</v>
      </c>
      <c r="BO41">
        <f t="shared" si="12"/>
        <v>4</v>
      </c>
      <c r="BP41">
        <f t="shared" si="13"/>
        <v>57.142857142857139</v>
      </c>
      <c r="BQ41" t="str">
        <f t="shared" si="14"/>
        <v>Medium</v>
      </c>
      <c r="BR41">
        <f t="shared" si="26"/>
        <v>74.193548387096769</v>
      </c>
      <c r="BS41">
        <f t="shared" si="27"/>
        <v>23</v>
      </c>
      <c r="BT41" t="str">
        <f t="shared" si="28"/>
        <v>High</v>
      </c>
      <c r="BU41" t="s">
        <v>92</v>
      </c>
      <c r="BV41" s="13" t="s">
        <v>93</v>
      </c>
      <c r="BW41" s="9">
        <v>2023</v>
      </c>
      <c r="BX41" s="10" t="s">
        <v>88</v>
      </c>
      <c r="BY41" s="8">
        <v>0.05</v>
      </c>
      <c r="BZ41" t="s">
        <v>94</v>
      </c>
    </row>
    <row r="42" spans="1:79" x14ac:dyDescent="0.25">
      <c r="A42" t="s">
        <v>175</v>
      </c>
      <c r="B42">
        <v>37.897222222222197</v>
      </c>
      <c r="C42">
        <v>126.925</v>
      </c>
      <c r="D42" s="8">
        <v>1165.6099999999999</v>
      </c>
      <c r="E42" s="8" t="str">
        <f t="shared" si="0"/>
        <v>Medium</v>
      </c>
      <c r="F42" t="s">
        <v>96</v>
      </c>
      <c r="G42" t="s">
        <v>168</v>
      </c>
      <c r="H42">
        <v>2020</v>
      </c>
      <c r="I42" t="s">
        <v>98</v>
      </c>
      <c r="J42" t="s">
        <v>82</v>
      </c>
      <c r="L42" t="s">
        <v>83</v>
      </c>
      <c r="M42" t="s">
        <v>84</v>
      </c>
      <c r="N42" t="s">
        <v>84</v>
      </c>
      <c r="O42" t="s">
        <v>85</v>
      </c>
      <c r="P42" t="s">
        <v>85</v>
      </c>
      <c r="Q42" t="s">
        <v>84</v>
      </c>
      <c r="R42" t="s">
        <v>85</v>
      </c>
      <c r="S42" s="8">
        <f t="shared" si="1"/>
        <v>3</v>
      </c>
      <c r="T42" s="8">
        <v>0</v>
      </c>
      <c r="U42" s="8">
        <f t="shared" si="2"/>
        <v>50</v>
      </c>
      <c r="V42" t="str">
        <f t="shared" si="3"/>
        <v>Medium</v>
      </c>
      <c r="X42" t="s">
        <v>84</v>
      </c>
      <c r="Y42" t="s">
        <v>84</v>
      </c>
      <c r="Z42" s="12" t="s">
        <v>84</v>
      </c>
      <c r="AA42" t="s">
        <v>85</v>
      </c>
      <c r="AB42" t="s">
        <v>85</v>
      </c>
      <c r="AC42" s="12" t="s">
        <v>84</v>
      </c>
      <c r="AD42">
        <f t="shared" si="4"/>
        <v>4</v>
      </c>
      <c r="AE42">
        <f t="shared" si="5"/>
        <v>57.142857142857139</v>
      </c>
      <c r="AF42" t="str">
        <f t="shared" si="22"/>
        <v>Medium</v>
      </c>
      <c r="AG42" t="s">
        <v>85</v>
      </c>
      <c r="AH42" t="s">
        <v>85</v>
      </c>
      <c r="AI42" t="s">
        <v>84</v>
      </c>
      <c r="AJ42" t="s">
        <v>85</v>
      </c>
      <c r="AK42" t="s">
        <v>85</v>
      </c>
      <c r="AL42" t="s">
        <v>84</v>
      </c>
      <c r="AM42">
        <f t="shared" si="6"/>
        <v>2</v>
      </c>
      <c r="AN42">
        <f t="shared" si="7"/>
        <v>28.571428571428569</v>
      </c>
      <c r="AO42" t="str">
        <f t="shared" si="23"/>
        <v>Low</v>
      </c>
      <c r="AP42" t="s">
        <v>84</v>
      </c>
      <c r="AQ42" t="s">
        <v>85</v>
      </c>
      <c r="AR42" t="s">
        <v>84</v>
      </c>
      <c r="AS42" s="12" t="s">
        <v>84</v>
      </c>
      <c r="AT42" t="s">
        <v>85</v>
      </c>
      <c r="AU42" t="s">
        <v>85</v>
      </c>
      <c r="AV42" t="s">
        <v>85</v>
      </c>
      <c r="AW42">
        <f t="shared" si="8"/>
        <v>3</v>
      </c>
      <c r="AX42">
        <f t="shared" si="9"/>
        <v>42.857142857142854</v>
      </c>
      <c r="AY42" t="str">
        <f t="shared" si="24"/>
        <v>Medium</v>
      </c>
      <c r="AZ42" t="s">
        <v>84</v>
      </c>
      <c r="BA42" t="s">
        <v>85</v>
      </c>
      <c r="BB42" t="s">
        <v>85</v>
      </c>
      <c r="BC42" t="s">
        <v>84</v>
      </c>
      <c r="BD42" t="s">
        <v>84</v>
      </c>
      <c r="BE42" t="s">
        <v>85</v>
      </c>
      <c r="BF42" t="s">
        <v>84</v>
      </c>
      <c r="BG42" t="s">
        <v>85</v>
      </c>
      <c r="BH42">
        <f t="shared" si="10"/>
        <v>4</v>
      </c>
      <c r="BI42">
        <f t="shared" si="11"/>
        <v>57.142857142857139</v>
      </c>
      <c r="BJ42" t="str">
        <f t="shared" si="25"/>
        <v>Medium</v>
      </c>
      <c r="BK42" s="12" t="s">
        <v>84</v>
      </c>
      <c r="BL42" t="s">
        <v>84</v>
      </c>
      <c r="BM42" t="s">
        <v>85</v>
      </c>
      <c r="BN42" t="s">
        <v>84</v>
      </c>
      <c r="BO42">
        <f t="shared" si="12"/>
        <v>3</v>
      </c>
      <c r="BP42">
        <f t="shared" si="13"/>
        <v>42.857142857142854</v>
      </c>
      <c r="BQ42" t="str">
        <f t="shared" si="14"/>
        <v>Medium</v>
      </c>
      <c r="BR42">
        <f t="shared" si="26"/>
        <v>51.612903225806448</v>
      </c>
      <c r="BS42">
        <f t="shared" si="27"/>
        <v>16</v>
      </c>
      <c r="BT42" t="str">
        <f t="shared" si="28"/>
        <v>Moderate</v>
      </c>
      <c r="BU42" t="s">
        <v>105</v>
      </c>
      <c r="BV42" s="13" t="s">
        <v>99</v>
      </c>
      <c r="BW42" s="16">
        <v>2023</v>
      </c>
      <c r="BX42" s="10" t="s">
        <v>88</v>
      </c>
      <c r="BY42" s="8">
        <v>0.15</v>
      </c>
      <c r="BZ42" t="s">
        <v>94</v>
      </c>
    </row>
    <row r="43" spans="1:79" x14ac:dyDescent="0.25">
      <c r="A43" t="s">
        <v>176</v>
      </c>
      <c r="B43">
        <v>42.591388888888801</v>
      </c>
      <c r="C43">
        <v>140.83722222222201</v>
      </c>
      <c r="D43" s="8">
        <v>1181</v>
      </c>
      <c r="E43" s="8" t="str">
        <f t="shared" si="0"/>
        <v>Medium</v>
      </c>
      <c r="F43" t="s">
        <v>96</v>
      </c>
      <c r="G43" t="s">
        <v>149</v>
      </c>
      <c r="H43">
        <v>2009</v>
      </c>
      <c r="I43" t="s">
        <v>81</v>
      </c>
      <c r="J43" t="s">
        <v>113</v>
      </c>
      <c r="L43" t="s">
        <v>83</v>
      </c>
      <c r="M43" t="s">
        <v>84</v>
      </c>
      <c r="N43" t="s">
        <v>85</v>
      </c>
      <c r="O43" t="s">
        <v>85</v>
      </c>
      <c r="P43" t="s">
        <v>84</v>
      </c>
      <c r="Q43" t="s">
        <v>84</v>
      </c>
      <c r="R43" t="s">
        <v>85</v>
      </c>
      <c r="S43" s="8">
        <f t="shared" si="1"/>
        <v>3</v>
      </c>
      <c r="T43" s="8">
        <v>0</v>
      </c>
      <c r="U43" s="8">
        <f t="shared" si="2"/>
        <v>50</v>
      </c>
      <c r="V43" t="str">
        <f t="shared" si="3"/>
        <v>Medium</v>
      </c>
      <c r="X43" t="s">
        <v>84</v>
      </c>
      <c r="Y43" t="s">
        <v>85</v>
      </c>
      <c r="Z43" t="s">
        <v>84</v>
      </c>
      <c r="AA43" t="s">
        <v>84</v>
      </c>
      <c r="AB43" t="s">
        <v>84</v>
      </c>
      <c r="AC43" t="s">
        <v>84</v>
      </c>
      <c r="AD43">
        <f t="shared" si="4"/>
        <v>5</v>
      </c>
      <c r="AE43">
        <f t="shared" si="5"/>
        <v>71.428571428571431</v>
      </c>
      <c r="AF43" t="str">
        <f t="shared" si="22"/>
        <v>High</v>
      </c>
      <c r="AG43" t="s">
        <v>84</v>
      </c>
      <c r="AH43" t="s">
        <v>84</v>
      </c>
      <c r="AI43" t="s">
        <v>84</v>
      </c>
      <c r="AJ43" t="s">
        <v>85</v>
      </c>
      <c r="AK43" t="s">
        <v>84</v>
      </c>
      <c r="AL43" t="s">
        <v>84</v>
      </c>
      <c r="AM43">
        <f t="shared" si="6"/>
        <v>5</v>
      </c>
      <c r="AN43">
        <f t="shared" si="7"/>
        <v>71.428571428571431</v>
      </c>
      <c r="AO43" t="str">
        <f t="shared" si="23"/>
        <v>High</v>
      </c>
      <c r="AP43" t="s">
        <v>84</v>
      </c>
      <c r="AQ43" t="s">
        <v>84</v>
      </c>
      <c r="AR43" t="s">
        <v>84</v>
      </c>
      <c r="AS43" t="s">
        <v>84</v>
      </c>
      <c r="AT43" t="s">
        <v>84</v>
      </c>
      <c r="AU43" t="s">
        <v>84</v>
      </c>
      <c r="AV43" t="s">
        <v>84</v>
      </c>
      <c r="AW43">
        <f t="shared" si="8"/>
        <v>6</v>
      </c>
      <c r="AX43">
        <f t="shared" si="9"/>
        <v>100</v>
      </c>
      <c r="AY43" t="str">
        <f t="shared" si="24"/>
        <v>High</v>
      </c>
      <c r="AZ43" t="s">
        <v>84</v>
      </c>
      <c r="BA43" t="s">
        <v>85</v>
      </c>
      <c r="BB43" t="s">
        <v>84</v>
      </c>
      <c r="BC43" t="s">
        <v>84</v>
      </c>
      <c r="BD43" t="s">
        <v>84</v>
      </c>
      <c r="BE43" t="s">
        <v>84</v>
      </c>
      <c r="BF43" t="s">
        <v>85</v>
      </c>
      <c r="BG43" t="s">
        <v>84</v>
      </c>
      <c r="BH43">
        <f t="shared" si="10"/>
        <v>6</v>
      </c>
      <c r="BI43">
        <f t="shared" si="11"/>
        <v>85.714285714285708</v>
      </c>
      <c r="BJ43" t="str">
        <f t="shared" si="25"/>
        <v>High</v>
      </c>
      <c r="BK43" t="s">
        <v>84</v>
      </c>
      <c r="BL43" t="s">
        <v>85</v>
      </c>
      <c r="BM43" t="s">
        <v>84</v>
      </c>
      <c r="BN43" t="s">
        <v>84</v>
      </c>
      <c r="BO43">
        <f t="shared" si="12"/>
        <v>3</v>
      </c>
      <c r="BP43">
        <f t="shared" si="13"/>
        <v>42.857142857142854</v>
      </c>
      <c r="BQ43" t="str">
        <f t="shared" si="14"/>
        <v>Medium</v>
      </c>
      <c r="BR43">
        <f t="shared" si="26"/>
        <v>83.870967741935488</v>
      </c>
      <c r="BS43">
        <f t="shared" si="27"/>
        <v>26</v>
      </c>
      <c r="BT43" t="str">
        <f t="shared" si="28"/>
        <v>High</v>
      </c>
      <c r="BU43" t="s">
        <v>92</v>
      </c>
      <c r="BV43" s="13" t="s">
        <v>93</v>
      </c>
      <c r="BW43" s="9">
        <v>2023</v>
      </c>
      <c r="BX43" s="10" t="s">
        <v>88</v>
      </c>
      <c r="BY43" s="8"/>
      <c r="BZ43" t="s">
        <v>87</v>
      </c>
    </row>
    <row r="44" spans="1:79" x14ac:dyDescent="0.25">
      <c r="A44" t="s">
        <v>177</v>
      </c>
      <c r="B44">
        <v>32.902499999999897</v>
      </c>
      <c r="C44">
        <v>131.081388888888</v>
      </c>
      <c r="D44" s="8">
        <v>1198</v>
      </c>
      <c r="E44" s="8" t="str">
        <f t="shared" si="0"/>
        <v>Medium</v>
      </c>
      <c r="F44" t="s">
        <v>96</v>
      </c>
      <c r="G44" t="s">
        <v>149</v>
      </c>
      <c r="H44">
        <v>2014</v>
      </c>
      <c r="I44" t="s">
        <v>103</v>
      </c>
      <c r="J44" t="s">
        <v>82</v>
      </c>
      <c r="L44" t="s">
        <v>83</v>
      </c>
      <c r="M44" t="s">
        <v>85</v>
      </c>
      <c r="N44" t="s">
        <v>85</v>
      </c>
      <c r="O44" t="s">
        <v>85</v>
      </c>
      <c r="P44" t="s">
        <v>85</v>
      </c>
      <c r="Q44" t="s">
        <v>84</v>
      </c>
      <c r="R44" t="s">
        <v>84</v>
      </c>
      <c r="S44" s="8">
        <f t="shared" si="1"/>
        <v>2</v>
      </c>
      <c r="T44" s="8">
        <v>0</v>
      </c>
      <c r="U44" s="8">
        <f t="shared" si="2"/>
        <v>33.333333333333329</v>
      </c>
      <c r="V44" t="str">
        <f t="shared" si="3"/>
        <v>Medium</v>
      </c>
      <c r="X44" t="s">
        <v>84</v>
      </c>
      <c r="Y44" t="s">
        <v>85</v>
      </c>
      <c r="Z44" t="s">
        <v>85</v>
      </c>
      <c r="AA44" t="s">
        <v>85</v>
      </c>
      <c r="AB44" t="s">
        <v>85</v>
      </c>
      <c r="AC44" t="s">
        <v>85</v>
      </c>
      <c r="AD44">
        <f t="shared" si="4"/>
        <v>1</v>
      </c>
      <c r="AE44">
        <f t="shared" si="5"/>
        <v>14.285714285714285</v>
      </c>
      <c r="AF44" t="str">
        <f t="shared" si="22"/>
        <v>Low</v>
      </c>
      <c r="AG44" t="s">
        <v>84</v>
      </c>
      <c r="AH44" t="s">
        <v>85</v>
      </c>
      <c r="AI44" t="s">
        <v>85</v>
      </c>
      <c r="AJ44" t="s">
        <v>85</v>
      </c>
      <c r="AK44" t="s">
        <v>85</v>
      </c>
      <c r="AL44" t="s">
        <v>84</v>
      </c>
      <c r="AM44">
        <f t="shared" si="6"/>
        <v>2</v>
      </c>
      <c r="AN44">
        <f t="shared" si="7"/>
        <v>28.571428571428569</v>
      </c>
      <c r="AO44" t="str">
        <f t="shared" si="23"/>
        <v>Low</v>
      </c>
      <c r="AP44" t="s">
        <v>85</v>
      </c>
      <c r="AQ44" t="s">
        <v>85</v>
      </c>
      <c r="AR44" t="s">
        <v>84</v>
      </c>
      <c r="AS44" t="s">
        <v>85</v>
      </c>
      <c r="AT44" t="s">
        <v>85</v>
      </c>
      <c r="AU44" t="s">
        <v>84</v>
      </c>
      <c r="AV44" t="s">
        <v>85</v>
      </c>
      <c r="AW44">
        <f t="shared" si="8"/>
        <v>2</v>
      </c>
      <c r="AX44">
        <f t="shared" si="9"/>
        <v>28.571428571428569</v>
      </c>
      <c r="AY44" t="str">
        <f t="shared" si="24"/>
        <v>Low</v>
      </c>
      <c r="AZ44" t="s">
        <v>85</v>
      </c>
      <c r="BA44" t="s">
        <v>85</v>
      </c>
      <c r="BB44" t="s">
        <v>84</v>
      </c>
      <c r="BC44" t="s">
        <v>85</v>
      </c>
      <c r="BD44" t="s">
        <v>85</v>
      </c>
      <c r="BE44" t="s">
        <v>84</v>
      </c>
      <c r="BF44" t="s">
        <v>85</v>
      </c>
      <c r="BG44" t="s">
        <v>85</v>
      </c>
      <c r="BH44">
        <f t="shared" si="10"/>
        <v>2</v>
      </c>
      <c r="BI44">
        <f t="shared" si="11"/>
        <v>28.571428571428569</v>
      </c>
      <c r="BJ44" t="str">
        <f t="shared" si="25"/>
        <v>Low</v>
      </c>
      <c r="BK44" t="s">
        <v>85</v>
      </c>
      <c r="BL44" t="s">
        <v>85</v>
      </c>
      <c r="BM44" t="s">
        <v>85</v>
      </c>
      <c r="BN44" t="s">
        <v>85</v>
      </c>
      <c r="BO44">
        <f t="shared" si="12"/>
        <v>0</v>
      </c>
      <c r="BP44">
        <f t="shared" si="13"/>
        <v>0</v>
      </c>
      <c r="BQ44" t="str">
        <f t="shared" si="14"/>
        <v>Low</v>
      </c>
      <c r="BR44">
        <f t="shared" si="26"/>
        <v>22.58064516129032</v>
      </c>
      <c r="BS44">
        <f t="shared" si="27"/>
        <v>7</v>
      </c>
      <c r="BT44" t="str">
        <f t="shared" si="28"/>
        <v>Low</v>
      </c>
      <c r="BU44" t="s">
        <v>92</v>
      </c>
      <c r="BV44" s="13" t="s">
        <v>114</v>
      </c>
      <c r="BW44" s="9">
        <v>2022</v>
      </c>
      <c r="BX44" s="10" t="s">
        <v>88</v>
      </c>
      <c r="BY44" s="8">
        <v>0.1</v>
      </c>
      <c r="BZ44" t="s">
        <v>94</v>
      </c>
    </row>
    <row r="45" spans="1:79" x14ac:dyDescent="0.25">
      <c r="A45" t="s">
        <v>178</v>
      </c>
      <c r="B45">
        <v>50.206666666666599</v>
      </c>
      <c r="C45">
        <v>6.8361111111111104</v>
      </c>
      <c r="D45" s="8">
        <v>1220</v>
      </c>
      <c r="E45" s="8" t="str">
        <f t="shared" si="0"/>
        <v>Medium</v>
      </c>
      <c r="F45" t="s">
        <v>79</v>
      </c>
      <c r="G45" t="s">
        <v>179</v>
      </c>
      <c r="H45">
        <v>2004</v>
      </c>
      <c r="I45" t="s">
        <v>81</v>
      </c>
      <c r="J45" t="s">
        <v>82</v>
      </c>
      <c r="L45" t="s">
        <v>104</v>
      </c>
      <c r="M45" t="s">
        <v>85</v>
      </c>
      <c r="N45" t="s">
        <v>85</v>
      </c>
      <c r="O45" t="s">
        <v>84</v>
      </c>
      <c r="P45" t="s">
        <v>84</v>
      </c>
      <c r="Q45" t="s">
        <v>84</v>
      </c>
      <c r="R45" t="s">
        <v>85</v>
      </c>
      <c r="S45" s="8">
        <f t="shared" si="1"/>
        <v>3</v>
      </c>
      <c r="T45" s="8">
        <v>0</v>
      </c>
      <c r="U45" s="8">
        <f t="shared" si="2"/>
        <v>50</v>
      </c>
      <c r="V45" t="str">
        <f t="shared" si="3"/>
        <v>Medium</v>
      </c>
      <c r="X45" t="s">
        <v>84</v>
      </c>
      <c r="Y45" t="s">
        <v>85</v>
      </c>
      <c r="Z45" t="s">
        <v>84</v>
      </c>
      <c r="AA45" t="s">
        <v>85</v>
      </c>
      <c r="AB45" t="s">
        <v>85</v>
      </c>
      <c r="AC45" t="s">
        <v>85</v>
      </c>
      <c r="AD45">
        <f t="shared" si="4"/>
        <v>2</v>
      </c>
      <c r="AE45">
        <f t="shared" si="5"/>
        <v>28.571428571428569</v>
      </c>
      <c r="AF45" t="str">
        <f t="shared" si="22"/>
        <v>Low</v>
      </c>
      <c r="AG45" t="s">
        <v>85</v>
      </c>
      <c r="AH45" t="s">
        <v>85</v>
      </c>
      <c r="AI45" t="s">
        <v>84</v>
      </c>
      <c r="AJ45" t="s">
        <v>84</v>
      </c>
      <c r="AK45" t="s">
        <v>84</v>
      </c>
      <c r="AL45" t="s">
        <v>84</v>
      </c>
      <c r="AM45">
        <f t="shared" si="6"/>
        <v>4</v>
      </c>
      <c r="AN45">
        <f t="shared" si="7"/>
        <v>57.142857142857139</v>
      </c>
      <c r="AO45" t="str">
        <f t="shared" si="23"/>
        <v>Medium</v>
      </c>
      <c r="AP45" t="s">
        <v>84</v>
      </c>
      <c r="AQ45" t="s">
        <v>85</v>
      </c>
      <c r="AR45" t="s">
        <v>85</v>
      </c>
      <c r="AS45" t="s">
        <v>84</v>
      </c>
      <c r="AT45" t="s">
        <v>85</v>
      </c>
      <c r="AU45" t="s">
        <v>84</v>
      </c>
      <c r="AV45" t="s">
        <v>85</v>
      </c>
      <c r="AW45">
        <f t="shared" si="8"/>
        <v>3</v>
      </c>
      <c r="AX45">
        <f t="shared" si="9"/>
        <v>42.857142857142854</v>
      </c>
      <c r="AY45" t="str">
        <f t="shared" si="24"/>
        <v>Medium</v>
      </c>
      <c r="AZ45" t="s">
        <v>84</v>
      </c>
      <c r="BA45" t="s">
        <v>84</v>
      </c>
      <c r="BB45" t="s">
        <v>85</v>
      </c>
      <c r="BC45" t="s">
        <v>84</v>
      </c>
      <c r="BD45" t="s">
        <v>84</v>
      </c>
      <c r="BE45" t="s">
        <v>85</v>
      </c>
      <c r="BF45" t="s">
        <v>84</v>
      </c>
      <c r="BG45" t="s">
        <v>85</v>
      </c>
      <c r="BH45">
        <f t="shared" si="10"/>
        <v>5</v>
      </c>
      <c r="BI45">
        <f t="shared" si="11"/>
        <v>71.428571428571431</v>
      </c>
      <c r="BJ45" t="str">
        <f t="shared" si="25"/>
        <v>High</v>
      </c>
      <c r="BK45" t="s">
        <v>85</v>
      </c>
      <c r="BL45" t="s">
        <v>84</v>
      </c>
      <c r="BM45" t="s">
        <v>85</v>
      </c>
      <c r="BN45" t="s">
        <v>84</v>
      </c>
      <c r="BO45">
        <f t="shared" si="12"/>
        <v>2</v>
      </c>
      <c r="BP45">
        <f t="shared" si="13"/>
        <v>28.571428571428569</v>
      </c>
      <c r="BQ45" t="str">
        <f t="shared" si="14"/>
        <v>Low</v>
      </c>
      <c r="BR45">
        <f t="shared" si="26"/>
        <v>51.612903225806448</v>
      </c>
      <c r="BS45">
        <f t="shared" si="27"/>
        <v>16</v>
      </c>
      <c r="BT45" t="str">
        <f t="shared" si="28"/>
        <v>Moderate</v>
      </c>
      <c r="BU45" t="s">
        <v>92</v>
      </c>
      <c r="BV45" s="13" t="s">
        <v>93</v>
      </c>
      <c r="BW45" s="9">
        <v>2023</v>
      </c>
      <c r="BX45" s="10" t="s">
        <v>88</v>
      </c>
      <c r="BY45" s="8">
        <v>0.2</v>
      </c>
      <c r="BZ45" t="s">
        <v>94</v>
      </c>
    </row>
    <row r="46" spans="1:79" x14ac:dyDescent="0.25">
      <c r="A46" t="s">
        <v>180</v>
      </c>
      <c r="B46">
        <v>-6.7686111111111096</v>
      </c>
      <c r="C46">
        <v>106.518611111111</v>
      </c>
      <c r="D46" s="8">
        <v>1260</v>
      </c>
      <c r="E46" s="8" t="str">
        <f t="shared" si="0"/>
        <v>Medium</v>
      </c>
      <c r="F46" t="s">
        <v>96</v>
      </c>
      <c r="G46" t="s">
        <v>181</v>
      </c>
      <c r="H46">
        <v>2018</v>
      </c>
      <c r="I46" t="s">
        <v>98</v>
      </c>
      <c r="J46" t="s">
        <v>10</v>
      </c>
      <c r="K46" t="s">
        <v>182</v>
      </c>
      <c r="L46" t="s">
        <v>83</v>
      </c>
      <c r="M46" t="s">
        <v>85</v>
      </c>
      <c r="N46" t="s">
        <v>85</v>
      </c>
      <c r="O46" t="s">
        <v>85</v>
      </c>
      <c r="P46" t="s">
        <v>84</v>
      </c>
      <c r="Q46" t="s">
        <v>84</v>
      </c>
      <c r="R46" t="s">
        <v>84</v>
      </c>
      <c r="S46" s="8">
        <f t="shared" si="1"/>
        <v>3</v>
      </c>
      <c r="T46" s="8">
        <v>0</v>
      </c>
      <c r="U46" s="8">
        <f t="shared" si="2"/>
        <v>50</v>
      </c>
      <c r="V46" t="str">
        <f t="shared" si="3"/>
        <v>Medium</v>
      </c>
      <c r="X46" t="s">
        <v>85</v>
      </c>
      <c r="Y46" t="s">
        <v>84</v>
      </c>
      <c r="Z46" t="s">
        <v>84</v>
      </c>
      <c r="AA46" t="s">
        <v>85</v>
      </c>
      <c r="AB46" t="s">
        <v>85</v>
      </c>
      <c r="AC46" t="s">
        <v>85</v>
      </c>
      <c r="AD46">
        <f t="shared" si="4"/>
        <v>2</v>
      </c>
      <c r="AE46">
        <f t="shared" si="5"/>
        <v>28.571428571428569</v>
      </c>
      <c r="AF46" t="str">
        <f t="shared" si="22"/>
        <v>Low</v>
      </c>
      <c r="AG46" t="s">
        <v>85</v>
      </c>
      <c r="AH46" t="s">
        <v>85</v>
      </c>
      <c r="AI46" t="s">
        <v>85</v>
      </c>
      <c r="AJ46" t="s">
        <v>85</v>
      </c>
      <c r="AK46" t="s">
        <v>84</v>
      </c>
      <c r="AL46" t="s">
        <v>85</v>
      </c>
      <c r="AM46">
        <f t="shared" si="6"/>
        <v>1</v>
      </c>
      <c r="AN46">
        <f t="shared" si="7"/>
        <v>14.285714285714285</v>
      </c>
      <c r="AO46" t="str">
        <f t="shared" si="23"/>
        <v>Low</v>
      </c>
      <c r="AP46" t="s">
        <v>85</v>
      </c>
      <c r="AQ46" t="s">
        <v>85</v>
      </c>
      <c r="AR46" t="s">
        <v>85</v>
      </c>
      <c r="AS46" t="s">
        <v>84</v>
      </c>
      <c r="AT46" t="s">
        <v>85</v>
      </c>
      <c r="AU46" t="s">
        <v>84</v>
      </c>
      <c r="AV46" t="s">
        <v>85</v>
      </c>
      <c r="AW46">
        <f t="shared" si="8"/>
        <v>2</v>
      </c>
      <c r="AX46">
        <f t="shared" si="9"/>
        <v>28.571428571428569</v>
      </c>
      <c r="AY46" t="str">
        <f t="shared" si="24"/>
        <v>Low</v>
      </c>
      <c r="AZ46" t="s">
        <v>84</v>
      </c>
      <c r="BA46" t="s">
        <v>85</v>
      </c>
      <c r="BB46" t="s">
        <v>85</v>
      </c>
      <c r="BC46" t="s">
        <v>85</v>
      </c>
      <c r="BD46" t="s">
        <v>84</v>
      </c>
      <c r="BE46" t="s">
        <v>85</v>
      </c>
      <c r="BF46" t="s">
        <v>85</v>
      </c>
      <c r="BG46" t="s">
        <v>84</v>
      </c>
      <c r="BH46">
        <f t="shared" si="10"/>
        <v>3</v>
      </c>
      <c r="BI46">
        <f t="shared" si="11"/>
        <v>42.857142857142854</v>
      </c>
      <c r="BJ46" t="str">
        <f t="shared" si="25"/>
        <v>Medium</v>
      </c>
      <c r="BK46" t="s">
        <v>84</v>
      </c>
      <c r="BL46" t="s">
        <v>85</v>
      </c>
      <c r="BM46" t="s">
        <v>84</v>
      </c>
      <c r="BN46" t="s">
        <v>84</v>
      </c>
      <c r="BO46">
        <f t="shared" si="12"/>
        <v>3</v>
      </c>
      <c r="BP46">
        <f t="shared" si="13"/>
        <v>42.857142857142854</v>
      </c>
      <c r="BQ46" t="str">
        <f t="shared" si="14"/>
        <v>Medium</v>
      </c>
      <c r="BR46">
        <f t="shared" si="26"/>
        <v>35.483870967741936</v>
      </c>
      <c r="BS46">
        <f t="shared" si="27"/>
        <v>11</v>
      </c>
      <c r="BT46" t="str">
        <f t="shared" si="28"/>
        <v>Moderate</v>
      </c>
      <c r="BU46" t="s">
        <v>92</v>
      </c>
      <c r="BV46" s="13" t="s">
        <v>99</v>
      </c>
      <c r="BW46" s="9">
        <v>2022</v>
      </c>
      <c r="BX46" s="10" t="s">
        <v>88</v>
      </c>
      <c r="BY46" s="8">
        <v>0.2</v>
      </c>
      <c r="BZ46" t="s">
        <v>94</v>
      </c>
    </row>
    <row r="47" spans="1:79" x14ac:dyDescent="0.25">
      <c r="A47" t="s">
        <v>183</v>
      </c>
      <c r="B47">
        <v>38.9736027777777</v>
      </c>
      <c r="C47">
        <v>100.060875</v>
      </c>
      <c r="D47" s="8">
        <v>1289.71</v>
      </c>
      <c r="E47" s="8" t="str">
        <f t="shared" si="0"/>
        <v>Medium</v>
      </c>
      <c r="F47" t="s">
        <v>96</v>
      </c>
      <c r="G47" t="s">
        <v>97</v>
      </c>
      <c r="H47">
        <v>2020</v>
      </c>
      <c r="I47" t="s">
        <v>98</v>
      </c>
      <c r="J47" t="s">
        <v>10</v>
      </c>
      <c r="L47" t="s">
        <v>83</v>
      </c>
      <c r="M47" t="s">
        <v>84</v>
      </c>
      <c r="N47" t="s">
        <v>84</v>
      </c>
      <c r="O47" t="s">
        <v>85</v>
      </c>
      <c r="P47" t="s">
        <v>84</v>
      </c>
      <c r="Q47" t="s">
        <v>85</v>
      </c>
      <c r="R47" t="s">
        <v>85</v>
      </c>
      <c r="S47" s="8">
        <f t="shared" si="1"/>
        <v>3</v>
      </c>
      <c r="T47" s="8">
        <v>0</v>
      </c>
      <c r="U47" s="8">
        <f t="shared" si="2"/>
        <v>50</v>
      </c>
      <c r="V47" t="str">
        <f t="shared" si="3"/>
        <v>Medium</v>
      </c>
      <c r="X47" t="s">
        <v>84</v>
      </c>
      <c r="Y47" t="s">
        <v>85</v>
      </c>
      <c r="Z47" t="s">
        <v>85</v>
      </c>
      <c r="AA47" t="s">
        <v>85</v>
      </c>
      <c r="AB47" t="s">
        <v>85</v>
      </c>
      <c r="AC47" t="s">
        <v>85</v>
      </c>
      <c r="AD47">
        <f t="shared" si="4"/>
        <v>1</v>
      </c>
      <c r="AE47">
        <f t="shared" si="5"/>
        <v>14.285714285714285</v>
      </c>
      <c r="AF47" t="str">
        <f t="shared" si="22"/>
        <v>Low</v>
      </c>
      <c r="AG47" t="s">
        <v>84</v>
      </c>
      <c r="AH47" t="s">
        <v>85</v>
      </c>
      <c r="AI47" t="s">
        <v>85</v>
      </c>
      <c r="AJ47" t="s">
        <v>85</v>
      </c>
      <c r="AK47" t="s">
        <v>85</v>
      </c>
      <c r="AL47" t="s">
        <v>85</v>
      </c>
      <c r="AM47">
        <f t="shared" si="6"/>
        <v>1</v>
      </c>
      <c r="AN47">
        <f t="shared" si="7"/>
        <v>14.285714285714285</v>
      </c>
      <c r="AO47" t="str">
        <f t="shared" si="23"/>
        <v>Low</v>
      </c>
      <c r="AP47" t="s">
        <v>85</v>
      </c>
      <c r="AQ47" t="s">
        <v>85</v>
      </c>
      <c r="AR47" t="s">
        <v>85</v>
      </c>
      <c r="AS47" t="s">
        <v>84</v>
      </c>
      <c r="AT47" t="s">
        <v>85</v>
      </c>
      <c r="AU47" t="s">
        <v>85</v>
      </c>
      <c r="AV47" t="s">
        <v>85</v>
      </c>
      <c r="AW47">
        <f t="shared" si="8"/>
        <v>1</v>
      </c>
      <c r="AX47">
        <f t="shared" si="9"/>
        <v>14.285714285714285</v>
      </c>
      <c r="AY47" t="str">
        <f t="shared" si="24"/>
        <v>Low</v>
      </c>
      <c r="AZ47" t="s">
        <v>84</v>
      </c>
      <c r="BA47" t="s">
        <v>85</v>
      </c>
      <c r="BB47" t="s">
        <v>85</v>
      </c>
      <c r="BC47" t="s">
        <v>85</v>
      </c>
      <c r="BD47" t="s">
        <v>84</v>
      </c>
      <c r="BE47" t="s">
        <v>85</v>
      </c>
      <c r="BF47" t="s">
        <v>85</v>
      </c>
      <c r="BG47" t="s">
        <v>85</v>
      </c>
      <c r="BH47">
        <f t="shared" si="10"/>
        <v>2</v>
      </c>
      <c r="BI47">
        <f t="shared" si="11"/>
        <v>28.571428571428569</v>
      </c>
      <c r="BJ47" t="str">
        <f t="shared" si="25"/>
        <v>Low</v>
      </c>
      <c r="BK47" t="s">
        <v>85</v>
      </c>
      <c r="BL47" t="s">
        <v>85</v>
      </c>
      <c r="BM47" t="s">
        <v>85</v>
      </c>
      <c r="BN47" t="s">
        <v>84</v>
      </c>
      <c r="BO47">
        <f t="shared" si="12"/>
        <v>1</v>
      </c>
      <c r="BP47">
        <f t="shared" si="13"/>
        <v>14.285714285714285</v>
      </c>
      <c r="BQ47" t="str">
        <f t="shared" si="14"/>
        <v>Low</v>
      </c>
      <c r="BR47">
        <f t="shared" si="26"/>
        <v>19.35483870967742</v>
      </c>
      <c r="BS47">
        <f t="shared" si="27"/>
        <v>6</v>
      </c>
      <c r="BT47" t="str">
        <f t="shared" si="28"/>
        <v>Low</v>
      </c>
      <c r="BU47" t="s">
        <v>105</v>
      </c>
      <c r="BV47" s="13" t="s">
        <v>114</v>
      </c>
      <c r="BW47" s="9">
        <v>2023</v>
      </c>
      <c r="BX47" s="10" t="s">
        <v>88</v>
      </c>
      <c r="BZ47" t="s">
        <v>101</v>
      </c>
    </row>
    <row r="48" spans="1:79" x14ac:dyDescent="0.25">
      <c r="A48" t="s">
        <v>184</v>
      </c>
      <c r="B48">
        <v>37.514722222222197</v>
      </c>
      <c r="C48">
        <v>14.3780555555555</v>
      </c>
      <c r="D48" s="8">
        <v>1298</v>
      </c>
      <c r="E48" s="8" t="str">
        <f t="shared" si="0"/>
        <v>Medium</v>
      </c>
      <c r="F48" t="s">
        <v>79</v>
      </c>
      <c r="G48" t="s">
        <v>185</v>
      </c>
      <c r="H48">
        <v>2004</v>
      </c>
      <c r="I48" t="s">
        <v>81</v>
      </c>
      <c r="J48" t="s">
        <v>91</v>
      </c>
      <c r="L48" t="s">
        <v>128</v>
      </c>
      <c r="M48" t="s">
        <v>84</v>
      </c>
      <c r="N48" t="s">
        <v>85</v>
      </c>
      <c r="O48" t="s">
        <v>85</v>
      </c>
      <c r="P48" t="s">
        <v>85</v>
      </c>
      <c r="Q48" t="s">
        <v>85</v>
      </c>
      <c r="R48" t="s">
        <v>84</v>
      </c>
      <c r="S48" s="8">
        <f t="shared" si="1"/>
        <v>2</v>
      </c>
      <c r="T48" s="8">
        <v>0</v>
      </c>
      <c r="U48" s="8">
        <f t="shared" si="2"/>
        <v>33.333333333333329</v>
      </c>
      <c r="V48" t="str">
        <f t="shared" si="3"/>
        <v>Medium</v>
      </c>
      <c r="X48" t="s">
        <v>84</v>
      </c>
      <c r="Y48" t="s">
        <v>85</v>
      </c>
      <c r="Z48" t="s">
        <v>84</v>
      </c>
      <c r="AA48" t="s">
        <v>84</v>
      </c>
      <c r="AB48" t="s">
        <v>85</v>
      </c>
      <c r="AC48" t="s">
        <v>85</v>
      </c>
      <c r="AD48">
        <f t="shared" si="4"/>
        <v>3</v>
      </c>
      <c r="AE48">
        <f t="shared" si="5"/>
        <v>42.857142857142854</v>
      </c>
      <c r="AF48" t="str">
        <f t="shared" si="22"/>
        <v>Medium</v>
      </c>
      <c r="AG48" t="s">
        <v>85</v>
      </c>
      <c r="AH48" t="s">
        <v>85</v>
      </c>
      <c r="AI48" t="s">
        <v>85</v>
      </c>
      <c r="AJ48" t="s">
        <v>85</v>
      </c>
      <c r="AK48" t="s">
        <v>84</v>
      </c>
      <c r="AL48" t="s">
        <v>84</v>
      </c>
      <c r="AM48">
        <f t="shared" si="6"/>
        <v>2</v>
      </c>
      <c r="AN48">
        <f t="shared" si="7"/>
        <v>28.571428571428569</v>
      </c>
      <c r="AO48" t="str">
        <f t="shared" si="23"/>
        <v>Low</v>
      </c>
      <c r="AP48" t="s">
        <v>84</v>
      </c>
      <c r="AQ48" t="s">
        <v>85</v>
      </c>
      <c r="AR48" t="s">
        <v>84</v>
      </c>
      <c r="AS48" t="s">
        <v>85</v>
      </c>
      <c r="AT48" t="s">
        <v>85</v>
      </c>
      <c r="AU48" t="s">
        <v>84</v>
      </c>
      <c r="AV48" t="s">
        <v>85</v>
      </c>
      <c r="AW48">
        <f t="shared" si="8"/>
        <v>3</v>
      </c>
      <c r="AX48">
        <f t="shared" si="9"/>
        <v>42.857142857142854</v>
      </c>
      <c r="AY48" t="str">
        <f t="shared" si="24"/>
        <v>Medium</v>
      </c>
      <c r="AZ48" t="s">
        <v>85</v>
      </c>
      <c r="BA48" t="s">
        <v>85</v>
      </c>
      <c r="BB48" t="s">
        <v>85</v>
      </c>
      <c r="BC48" t="s">
        <v>85</v>
      </c>
      <c r="BD48" t="s">
        <v>85</v>
      </c>
      <c r="BE48" t="s">
        <v>85</v>
      </c>
      <c r="BF48" t="s">
        <v>84</v>
      </c>
      <c r="BG48" t="s">
        <v>85</v>
      </c>
      <c r="BH48">
        <f t="shared" si="10"/>
        <v>1</v>
      </c>
      <c r="BI48">
        <f t="shared" si="11"/>
        <v>14.285714285714285</v>
      </c>
      <c r="BJ48" t="str">
        <f t="shared" si="25"/>
        <v>Low</v>
      </c>
      <c r="BK48" t="s">
        <v>85</v>
      </c>
      <c r="BL48" t="s">
        <v>85</v>
      </c>
      <c r="BM48" t="s">
        <v>85</v>
      </c>
      <c r="BN48" t="s">
        <v>85</v>
      </c>
      <c r="BO48">
        <f t="shared" si="12"/>
        <v>0</v>
      </c>
      <c r="BP48">
        <f t="shared" si="13"/>
        <v>0</v>
      </c>
      <c r="BQ48" t="str">
        <f t="shared" si="14"/>
        <v>Low</v>
      </c>
      <c r="BR48">
        <f t="shared" si="26"/>
        <v>29.032258064516132</v>
      </c>
      <c r="BS48">
        <f t="shared" si="27"/>
        <v>9</v>
      </c>
      <c r="BT48" t="str">
        <f t="shared" si="28"/>
        <v>Low</v>
      </c>
      <c r="BU48" t="s">
        <v>92</v>
      </c>
      <c r="BV48" s="13" t="s">
        <v>88</v>
      </c>
      <c r="BW48" s="9">
        <v>2021</v>
      </c>
      <c r="BX48" s="10" t="s">
        <v>109</v>
      </c>
      <c r="BY48" s="8">
        <v>0.15</v>
      </c>
      <c r="BZ48" t="s">
        <v>94</v>
      </c>
    </row>
    <row r="49" spans="1:78" x14ac:dyDescent="0.25">
      <c r="A49" t="s">
        <v>186</v>
      </c>
      <c r="B49">
        <v>42.466666666666598</v>
      </c>
      <c r="C49">
        <v>1.8216666666666601</v>
      </c>
      <c r="D49" s="8">
        <v>1300</v>
      </c>
      <c r="E49" s="8" t="str">
        <f t="shared" si="0"/>
        <v>Medium</v>
      </c>
      <c r="F49" t="s">
        <v>79</v>
      </c>
      <c r="G49" t="s">
        <v>90</v>
      </c>
      <c r="H49">
        <v>2012</v>
      </c>
      <c r="I49" t="s">
        <v>103</v>
      </c>
      <c r="J49" t="s">
        <v>91</v>
      </c>
      <c r="L49" t="s">
        <v>121</v>
      </c>
      <c r="M49" t="s">
        <v>85</v>
      </c>
      <c r="N49" t="s">
        <v>85</v>
      </c>
      <c r="O49" t="s">
        <v>85</v>
      </c>
      <c r="P49" t="s">
        <v>85</v>
      </c>
      <c r="Q49" t="s">
        <v>84</v>
      </c>
      <c r="R49" t="s">
        <v>85</v>
      </c>
      <c r="S49" s="8">
        <f t="shared" si="1"/>
        <v>1</v>
      </c>
      <c r="T49" s="8">
        <v>0</v>
      </c>
      <c r="U49" s="8">
        <f t="shared" si="2"/>
        <v>16.666666666666664</v>
      </c>
      <c r="V49" t="str">
        <f t="shared" si="3"/>
        <v>Low</v>
      </c>
      <c r="X49" t="s">
        <v>84</v>
      </c>
      <c r="Y49" t="s">
        <v>84</v>
      </c>
      <c r="Z49" t="s">
        <v>84</v>
      </c>
      <c r="AA49" t="s">
        <v>84</v>
      </c>
      <c r="AB49" t="s">
        <v>84</v>
      </c>
      <c r="AC49" t="s">
        <v>84</v>
      </c>
      <c r="AD49">
        <f t="shared" si="4"/>
        <v>6</v>
      </c>
      <c r="AE49">
        <f t="shared" si="5"/>
        <v>85.714285714285708</v>
      </c>
      <c r="AF49" t="str">
        <f t="shared" si="22"/>
        <v>High</v>
      </c>
      <c r="AG49" t="s">
        <v>84</v>
      </c>
      <c r="AH49" t="s">
        <v>85</v>
      </c>
      <c r="AI49" t="s">
        <v>85</v>
      </c>
      <c r="AJ49" t="s">
        <v>84</v>
      </c>
      <c r="AK49" t="s">
        <v>84</v>
      </c>
      <c r="AL49" t="s">
        <v>84</v>
      </c>
      <c r="AM49">
        <f t="shared" si="6"/>
        <v>4</v>
      </c>
      <c r="AN49">
        <f t="shared" si="7"/>
        <v>57.142857142857139</v>
      </c>
      <c r="AO49" t="str">
        <f t="shared" si="23"/>
        <v>Medium</v>
      </c>
      <c r="AP49" t="s">
        <v>85</v>
      </c>
      <c r="AQ49" t="s">
        <v>85</v>
      </c>
      <c r="AR49" t="s">
        <v>84</v>
      </c>
      <c r="AS49" t="s">
        <v>84</v>
      </c>
      <c r="AT49" t="s">
        <v>85</v>
      </c>
      <c r="AU49" t="s">
        <v>84</v>
      </c>
      <c r="AV49" t="s">
        <v>85</v>
      </c>
      <c r="AW49">
        <f t="shared" si="8"/>
        <v>3</v>
      </c>
      <c r="AX49">
        <f t="shared" si="9"/>
        <v>42.857142857142854</v>
      </c>
      <c r="AY49" t="str">
        <f t="shared" si="24"/>
        <v>Medium</v>
      </c>
      <c r="AZ49" t="s">
        <v>84</v>
      </c>
      <c r="BA49" t="s">
        <v>84</v>
      </c>
      <c r="BB49" t="s">
        <v>85</v>
      </c>
      <c r="BC49" t="s">
        <v>84</v>
      </c>
      <c r="BD49" t="s">
        <v>84</v>
      </c>
      <c r="BE49" t="s">
        <v>84</v>
      </c>
      <c r="BF49" t="s">
        <v>84</v>
      </c>
      <c r="BG49" t="s">
        <v>84</v>
      </c>
      <c r="BH49">
        <f t="shared" si="10"/>
        <v>7</v>
      </c>
      <c r="BI49">
        <f t="shared" si="11"/>
        <v>100</v>
      </c>
      <c r="BJ49" t="str">
        <f t="shared" si="25"/>
        <v>High</v>
      </c>
      <c r="BK49" t="s">
        <v>84</v>
      </c>
      <c r="BL49" t="s">
        <v>84</v>
      </c>
      <c r="BM49" t="s">
        <v>84</v>
      </c>
      <c r="BN49" t="s">
        <v>84</v>
      </c>
      <c r="BO49">
        <f t="shared" si="12"/>
        <v>4</v>
      </c>
      <c r="BP49">
        <f t="shared" si="13"/>
        <v>57.142857142857139</v>
      </c>
      <c r="BQ49" t="str">
        <f t="shared" si="14"/>
        <v>Medium</v>
      </c>
      <c r="BR49">
        <f t="shared" si="26"/>
        <v>77.41935483870968</v>
      </c>
      <c r="BS49">
        <f t="shared" si="27"/>
        <v>24</v>
      </c>
      <c r="BT49" t="str">
        <f t="shared" si="28"/>
        <v>High</v>
      </c>
      <c r="BU49" t="s">
        <v>92</v>
      </c>
      <c r="BV49" s="13" t="s">
        <v>93</v>
      </c>
      <c r="BW49" s="9">
        <v>2021</v>
      </c>
      <c r="BX49" s="10" t="s">
        <v>109</v>
      </c>
      <c r="BZ49" t="s">
        <v>101</v>
      </c>
    </row>
    <row r="50" spans="1:78" x14ac:dyDescent="0.25">
      <c r="A50" t="s">
        <v>187</v>
      </c>
      <c r="B50">
        <v>64.578611109999997</v>
      </c>
      <c r="C50">
        <v>26.501666669999999</v>
      </c>
      <c r="D50" s="8">
        <v>1326</v>
      </c>
      <c r="E50" s="8" t="str">
        <f t="shared" si="0"/>
        <v>Medium</v>
      </c>
      <c r="F50" t="s">
        <v>79</v>
      </c>
      <c r="G50" t="s">
        <v>188</v>
      </c>
      <c r="H50">
        <v>2010</v>
      </c>
      <c r="I50" t="s">
        <v>81</v>
      </c>
      <c r="J50" t="s">
        <v>91</v>
      </c>
      <c r="L50" t="s">
        <v>83</v>
      </c>
      <c r="M50" t="s">
        <v>85</v>
      </c>
      <c r="N50" t="s">
        <v>84</v>
      </c>
      <c r="O50" t="s">
        <v>85</v>
      </c>
      <c r="P50" t="s">
        <v>84</v>
      </c>
      <c r="Q50" t="s">
        <v>84</v>
      </c>
      <c r="R50" t="s">
        <v>85</v>
      </c>
      <c r="S50" s="8">
        <f t="shared" si="1"/>
        <v>3</v>
      </c>
      <c r="T50" s="8">
        <v>0</v>
      </c>
      <c r="U50" s="8">
        <f t="shared" si="2"/>
        <v>50</v>
      </c>
      <c r="V50" t="str">
        <f t="shared" si="3"/>
        <v>Medium</v>
      </c>
      <c r="W50" t="s">
        <v>189</v>
      </c>
      <c r="X50" t="s">
        <v>84</v>
      </c>
      <c r="Y50" t="s">
        <v>85</v>
      </c>
      <c r="Z50" t="s">
        <v>84</v>
      </c>
      <c r="AA50" t="s">
        <v>85</v>
      </c>
      <c r="AB50" t="s">
        <v>85</v>
      </c>
      <c r="AC50" t="s">
        <v>85</v>
      </c>
      <c r="AD50">
        <f t="shared" si="4"/>
        <v>2</v>
      </c>
      <c r="AE50">
        <f t="shared" si="5"/>
        <v>28.571428571428569</v>
      </c>
      <c r="AF50" t="str">
        <f t="shared" si="22"/>
        <v>Low</v>
      </c>
      <c r="AG50" t="s">
        <v>84</v>
      </c>
      <c r="AH50" t="s">
        <v>84</v>
      </c>
      <c r="AI50" t="s">
        <v>84</v>
      </c>
      <c r="AJ50" t="s">
        <v>84</v>
      </c>
      <c r="AK50" t="s">
        <v>84</v>
      </c>
      <c r="AL50" t="s">
        <v>84</v>
      </c>
      <c r="AM50">
        <f t="shared" si="6"/>
        <v>6</v>
      </c>
      <c r="AN50">
        <f t="shared" si="7"/>
        <v>85.714285714285708</v>
      </c>
      <c r="AO50" t="str">
        <f t="shared" si="23"/>
        <v>High</v>
      </c>
      <c r="AP50" t="s">
        <v>85</v>
      </c>
      <c r="AQ50" t="s">
        <v>84</v>
      </c>
      <c r="AR50" t="s">
        <v>84</v>
      </c>
      <c r="AS50" t="s">
        <v>84</v>
      </c>
      <c r="AT50" t="s">
        <v>85</v>
      </c>
      <c r="AU50" t="s">
        <v>84</v>
      </c>
      <c r="AV50" t="s">
        <v>85</v>
      </c>
      <c r="AW50">
        <f t="shared" si="8"/>
        <v>4</v>
      </c>
      <c r="AX50">
        <f t="shared" si="9"/>
        <v>57.142857142857139</v>
      </c>
      <c r="AY50" t="str">
        <f t="shared" si="24"/>
        <v>Medium</v>
      </c>
      <c r="AZ50" t="s">
        <v>84</v>
      </c>
      <c r="BA50" t="s">
        <v>85</v>
      </c>
      <c r="BB50" t="s">
        <v>84</v>
      </c>
      <c r="BC50" t="s">
        <v>84</v>
      </c>
      <c r="BD50" t="s">
        <v>84</v>
      </c>
      <c r="BE50" t="s">
        <v>85</v>
      </c>
      <c r="BF50" t="s">
        <v>84</v>
      </c>
      <c r="BG50" t="s">
        <v>84</v>
      </c>
      <c r="BH50">
        <f t="shared" si="10"/>
        <v>6</v>
      </c>
      <c r="BI50">
        <f t="shared" si="11"/>
        <v>85.714285714285708</v>
      </c>
      <c r="BJ50" t="str">
        <f t="shared" si="25"/>
        <v>High</v>
      </c>
      <c r="BK50" t="s">
        <v>84</v>
      </c>
      <c r="BL50" t="s">
        <v>84</v>
      </c>
      <c r="BM50" t="s">
        <v>84</v>
      </c>
      <c r="BN50" t="s">
        <v>84</v>
      </c>
      <c r="BO50">
        <f t="shared" si="12"/>
        <v>4</v>
      </c>
      <c r="BP50">
        <f t="shared" si="13"/>
        <v>57.142857142857139</v>
      </c>
      <c r="BQ50" t="str">
        <f t="shared" si="14"/>
        <v>Medium</v>
      </c>
      <c r="BR50">
        <f t="shared" si="26"/>
        <v>70.967741935483872</v>
      </c>
      <c r="BS50">
        <f t="shared" si="27"/>
        <v>22</v>
      </c>
      <c r="BT50" t="str">
        <f t="shared" si="28"/>
        <v>High</v>
      </c>
      <c r="BU50" t="s">
        <v>92</v>
      </c>
      <c r="BV50" s="13" t="s">
        <v>99</v>
      </c>
      <c r="BW50" s="9">
        <v>2022</v>
      </c>
      <c r="BX50" s="10" t="s">
        <v>88</v>
      </c>
      <c r="BY50" s="8">
        <v>0.2</v>
      </c>
      <c r="BZ50" t="s">
        <v>94</v>
      </c>
    </row>
    <row r="51" spans="1:78" x14ac:dyDescent="0.25">
      <c r="A51" t="s">
        <v>190</v>
      </c>
      <c r="B51">
        <v>33.434999999999903</v>
      </c>
      <c r="C51">
        <v>112.18138888888799</v>
      </c>
      <c r="D51" s="8">
        <v>1522</v>
      </c>
      <c r="E51" s="8" t="str">
        <f t="shared" si="0"/>
        <v>Medium</v>
      </c>
      <c r="F51" t="s">
        <v>96</v>
      </c>
      <c r="G51" t="s">
        <v>97</v>
      </c>
      <c r="H51">
        <v>2006</v>
      </c>
      <c r="I51" t="s">
        <v>81</v>
      </c>
      <c r="J51" t="s">
        <v>10</v>
      </c>
      <c r="L51" t="s">
        <v>104</v>
      </c>
      <c r="M51" t="s">
        <v>85</v>
      </c>
      <c r="N51" t="s">
        <v>85</v>
      </c>
      <c r="O51" t="s">
        <v>85</v>
      </c>
      <c r="P51" t="s">
        <v>84</v>
      </c>
      <c r="Q51" t="s">
        <v>84</v>
      </c>
      <c r="R51" t="s">
        <v>85</v>
      </c>
      <c r="S51" s="8">
        <f t="shared" si="1"/>
        <v>2</v>
      </c>
      <c r="T51" s="8">
        <v>0</v>
      </c>
      <c r="U51" s="8">
        <f t="shared" si="2"/>
        <v>33.333333333333329</v>
      </c>
      <c r="V51" t="str">
        <f t="shared" si="3"/>
        <v>Medium</v>
      </c>
      <c r="X51" t="s">
        <v>84</v>
      </c>
      <c r="Y51" t="s">
        <v>84</v>
      </c>
      <c r="Z51" t="s">
        <v>84</v>
      </c>
      <c r="AA51" t="s">
        <v>85</v>
      </c>
      <c r="AB51" t="s">
        <v>85</v>
      </c>
      <c r="AC51" t="s">
        <v>85</v>
      </c>
      <c r="AD51">
        <f t="shared" si="4"/>
        <v>3</v>
      </c>
      <c r="AE51">
        <f t="shared" si="5"/>
        <v>42.857142857142854</v>
      </c>
      <c r="AF51" t="str">
        <f t="shared" si="22"/>
        <v>Medium</v>
      </c>
      <c r="AG51" t="s">
        <v>84</v>
      </c>
      <c r="AH51" t="s">
        <v>85</v>
      </c>
      <c r="AI51" t="s">
        <v>84</v>
      </c>
      <c r="AJ51" t="s">
        <v>85</v>
      </c>
      <c r="AK51" t="s">
        <v>85</v>
      </c>
      <c r="AL51" t="s">
        <v>84</v>
      </c>
      <c r="AM51">
        <f t="shared" si="6"/>
        <v>3</v>
      </c>
      <c r="AN51">
        <f t="shared" si="7"/>
        <v>42.857142857142854</v>
      </c>
      <c r="AO51" t="str">
        <f t="shared" si="23"/>
        <v>Medium</v>
      </c>
      <c r="AP51" t="s">
        <v>84</v>
      </c>
      <c r="AQ51" t="s">
        <v>84</v>
      </c>
      <c r="AR51" t="s">
        <v>85</v>
      </c>
      <c r="AS51" t="s">
        <v>85</v>
      </c>
      <c r="AT51" t="s">
        <v>84</v>
      </c>
      <c r="AU51" t="s">
        <v>84</v>
      </c>
      <c r="AV51" t="s">
        <v>85</v>
      </c>
      <c r="AW51">
        <f t="shared" si="8"/>
        <v>4</v>
      </c>
      <c r="AX51">
        <f t="shared" si="9"/>
        <v>57.142857142857139</v>
      </c>
      <c r="AY51" t="str">
        <f t="shared" si="24"/>
        <v>Medium</v>
      </c>
      <c r="AZ51" t="s">
        <v>85</v>
      </c>
      <c r="BA51" t="s">
        <v>85</v>
      </c>
      <c r="BB51" t="s">
        <v>84</v>
      </c>
      <c r="BC51" t="s">
        <v>84</v>
      </c>
      <c r="BD51" t="s">
        <v>84</v>
      </c>
      <c r="BE51" t="s">
        <v>84</v>
      </c>
      <c r="BF51" t="s">
        <v>85</v>
      </c>
      <c r="BG51" t="s">
        <v>85</v>
      </c>
      <c r="BH51">
        <f t="shared" si="10"/>
        <v>4</v>
      </c>
      <c r="BI51">
        <f t="shared" si="11"/>
        <v>57.142857142857139</v>
      </c>
      <c r="BJ51" t="str">
        <f t="shared" si="25"/>
        <v>Medium</v>
      </c>
      <c r="BK51" t="s">
        <v>84</v>
      </c>
      <c r="BL51" t="s">
        <v>85</v>
      </c>
      <c r="BM51" t="s">
        <v>85</v>
      </c>
      <c r="BN51" t="s">
        <v>84</v>
      </c>
      <c r="BO51">
        <f t="shared" si="12"/>
        <v>2</v>
      </c>
      <c r="BP51">
        <f t="shared" si="13"/>
        <v>28.571428571428569</v>
      </c>
      <c r="BQ51" t="str">
        <f t="shared" si="14"/>
        <v>Low</v>
      </c>
      <c r="BR51">
        <f t="shared" si="26"/>
        <v>51.612903225806448</v>
      </c>
      <c r="BS51">
        <f t="shared" si="27"/>
        <v>16</v>
      </c>
      <c r="BT51" t="str">
        <f t="shared" si="28"/>
        <v>Moderate</v>
      </c>
      <c r="BU51" t="s">
        <v>105</v>
      </c>
      <c r="BV51" s="13" t="s">
        <v>99</v>
      </c>
      <c r="BW51" s="9">
        <v>2018</v>
      </c>
      <c r="BX51" s="10" t="s">
        <v>100</v>
      </c>
      <c r="BZ51" t="s">
        <v>101</v>
      </c>
    </row>
    <row r="52" spans="1:78" x14ac:dyDescent="0.25">
      <c r="A52" t="s">
        <v>191</v>
      </c>
      <c r="B52">
        <v>45.983055555555502</v>
      </c>
      <c r="C52">
        <v>4.7166666666666597</v>
      </c>
      <c r="D52" s="8">
        <v>1550</v>
      </c>
      <c r="E52" s="8" t="str">
        <f t="shared" si="0"/>
        <v>Medium</v>
      </c>
      <c r="F52" t="s">
        <v>79</v>
      </c>
      <c r="G52" t="s">
        <v>192</v>
      </c>
      <c r="H52">
        <v>2018</v>
      </c>
      <c r="I52" t="s">
        <v>98</v>
      </c>
      <c r="J52" t="s">
        <v>82</v>
      </c>
      <c r="L52" t="s">
        <v>128</v>
      </c>
      <c r="M52" t="s">
        <v>85</v>
      </c>
      <c r="N52" t="s">
        <v>85</v>
      </c>
      <c r="O52" t="s">
        <v>85</v>
      </c>
      <c r="P52" t="s">
        <v>85</v>
      </c>
      <c r="Q52" t="s">
        <v>85</v>
      </c>
      <c r="R52" t="s">
        <v>85</v>
      </c>
      <c r="S52" s="8">
        <f t="shared" si="1"/>
        <v>0</v>
      </c>
      <c r="T52" s="8">
        <v>0</v>
      </c>
      <c r="U52" s="8">
        <f t="shared" si="2"/>
        <v>0</v>
      </c>
      <c r="V52" t="str">
        <f t="shared" si="3"/>
        <v>Low</v>
      </c>
      <c r="W52" t="s">
        <v>193</v>
      </c>
      <c r="X52" t="s">
        <v>85</v>
      </c>
      <c r="Y52" t="s">
        <v>85</v>
      </c>
      <c r="Z52" t="s">
        <v>85</v>
      </c>
      <c r="AA52" t="s">
        <v>85</v>
      </c>
      <c r="AB52" t="s">
        <v>85</v>
      </c>
      <c r="AC52" t="s">
        <v>85</v>
      </c>
      <c r="AD52">
        <f t="shared" si="4"/>
        <v>0</v>
      </c>
      <c r="AE52">
        <f t="shared" si="5"/>
        <v>0</v>
      </c>
      <c r="AF52" t="str">
        <f t="shared" si="22"/>
        <v>Low</v>
      </c>
      <c r="AG52" t="s">
        <v>85</v>
      </c>
      <c r="AH52" t="s">
        <v>85</v>
      </c>
      <c r="AI52" t="s">
        <v>85</v>
      </c>
      <c r="AJ52" t="s">
        <v>85</v>
      </c>
      <c r="AK52" t="s">
        <v>85</v>
      </c>
      <c r="AL52" t="s">
        <v>85</v>
      </c>
      <c r="AM52">
        <f t="shared" si="6"/>
        <v>0</v>
      </c>
      <c r="AN52">
        <f t="shared" si="7"/>
        <v>0</v>
      </c>
      <c r="AO52" t="str">
        <f t="shared" si="23"/>
        <v>Low</v>
      </c>
      <c r="AP52" t="s">
        <v>85</v>
      </c>
      <c r="AQ52" t="s">
        <v>85</v>
      </c>
      <c r="AR52" t="s">
        <v>85</v>
      </c>
      <c r="AS52" t="s">
        <v>85</v>
      </c>
      <c r="AT52" t="s">
        <v>85</v>
      </c>
      <c r="AU52" t="s">
        <v>85</v>
      </c>
      <c r="AV52" t="s">
        <v>85</v>
      </c>
      <c r="AW52">
        <f t="shared" si="8"/>
        <v>0</v>
      </c>
      <c r="AX52">
        <f t="shared" si="9"/>
        <v>0</v>
      </c>
      <c r="AY52" t="str">
        <f t="shared" si="24"/>
        <v>Low</v>
      </c>
      <c r="AZ52" t="s">
        <v>85</v>
      </c>
      <c r="BA52" t="s">
        <v>85</v>
      </c>
      <c r="BB52" t="s">
        <v>85</v>
      </c>
      <c r="BC52" t="s">
        <v>85</v>
      </c>
      <c r="BD52" t="s">
        <v>85</v>
      </c>
      <c r="BE52" t="s">
        <v>85</v>
      </c>
      <c r="BF52" t="s">
        <v>85</v>
      </c>
      <c r="BG52" t="s">
        <v>85</v>
      </c>
      <c r="BH52">
        <f t="shared" si="10"/>
        <v>0</v>
      </c>
      <c r="BI52">
        <f t="shared" si="11"/>
        <v>0</v>
      </c>
      <c r="BJ52" t="str">
        <f t="shared" si="25"/>
        <v>Low</v>
      </c>
      <c r="BK52" t="s">
        <v>85</v>
      </c>
      <c r="BL52" t="s">
        <v>85</v>
      </c>
      <c r="BM52" t="s">
        <v>85</v>
      </c>
      <c r="BN52" t="s">
        <v>85</v>
      </c>
      <c r="BO52">
        <f t="shared" si="12"/>
        <v>0</v>
      </c>
      <c r="BP52">
        <f t="shared" si="13"/>
        <v>0</v>
      </c>
      <c r="BQ52" t="str">
        <f t="shared" si="14"/>
        <v>Low</v>
      </c>
      <c r="BR52">
        <f t="shared" si="26"/>
        <v>0</v>
      </c>
      <c r="BS52">
        <f t="shared" si="27"/>
        <v>0</v>
      </c>
      <c r="BT52" t="str">
        <f t="shared" si="28"/>
        <v>Low</v>
      </c>
      <c r="BU52" t="s">
        <v>87</v>
      </c>
      <c r="BV52" t="s">
        <v>87</v>
      </c>
      <c r="BW52" s="9">
        <v>2022</v>
      </c>
      <c r="BX52" s="10" t="s">
        <v>88</v>
      </c>
      <c r="BY52" s="8"/>
      <c r="BZ52" t="s">
        <v>87</v>
      </c>
    </row>
    <row r="53" spans="1:78" x14ac:dyDescent="0.25">
      <c r="A53" t="s">
        <v>194</v>
      </c>
      <c r="B53">
        <v>52.25</v>
      </c>
      <c r="C53">
        <v>8.0500000000000007</v>
      </c>
      <c r="D53" s="8">
        <v>1560</v>
      </c>
      <c r="E53" s="8" t="str">
        <f t="shared" si="0"/>
        <v>Medium</v>
      </c>
      <c r="F53" t="s">
        <v>79</v>
      </c>
      <c r="G53" t="s">
        <v>179</v>
      </c>
      <c r="H53">
        <v>2004</v>
      </c>
      <c r="I53" t="s">
        <v>81</v>
      </c>
      <c r="J53" t="s">
        <v>91</v>
      </c>
      <c r="L53" t="s">
        <v>83</v>
      </c>
      <c r="M53" t="s">
        <v>84</v>
      </c>
      <c r="N53" t="s">
        <v>84</v>
      </c>
      <c r="O53" t="s">
        <v>84</v>
      </c>
      <c r="P53" t="s">
        <v>84</v>
      </c>
      <c r="Q53" t="s">
        <v>84</v>
      </c>
      <c r="R53" t="s">
        <v>85</v>
      </c>
      <c r="S53" s="8">
        <f t="shared" si="1"/>
        <v>5</v>
      </c>
      <c r="T53" s="8">
        <v>0</v>
      </c>
      <c r="U53" s="8">
        <f t="shared" si="2"/>
        <v>83.333333333333343</v>
      </c>
      <c r="V53" t="str">
        <f t="shared" si="3"/>
        <v>High</v>
      </c>
      <c r="X53" t="s">
        <v>84</v>
      </c>
      <c r="Y53" t="s">
        <v>85</v>
      </c>
      <c r="Z53" t="s">
        <v>85</v>
      </c>
      <c r="AA53" t="s">
        <v>84</v>
      </c>
      <c r="AB53" t="s">
        <v>85</v>
      </c>
      <c r="AC53" t="s">
        <v>85</v>
      </c>
      <c r="AD53">
        <f t="shared" si="4"/>
        <v>2</v>
      </c>
      <c r="AE53">
        <f t="shared" si="5"/>
        <v>28.571428571428569</v>
      </c>
      <c r="AF53" t="str">
        <f t="shared" si="22"/>
        <v>Low</v>
      </c>
      <c r="AG53" t="s">
        <v>85</v>
      </c>
      <c r="AH53" t="s">
        <v>85</v>
      </c>
      <c r="AI53" t="s">
        <v>85</v>
      </c>
      <c r="AJ53" t="s">
        <v>84</v>
      </c>
      <c r="AK53" t="s">
        <v>84</v>
      </c>
      <c r="AL53" t="s">
        <v>84</v>
      </c>
      <c r="AM53">
        <f t="shared" si="6"/>
        <v>3</v>
      </c>
      <c r="AN53">
        <f t="shared" si="7"/>
        <v>42.857142857142854</v>
      </c>
      <c r="AO53" t="str">
        <f t="shared" si="23"/>
        <v>Medium</v>
      </c>
      <c r="AP53" t="s">
        <v>85</v>
      </c>
      <c r="AQ53" t="s">
        <v>85</v>
      </c>
      <c r="AR53" t="s">
        <v>84</v>
      </c>
      <c r="AS53" t="s">
        <v>85</v>
      </c>
      <c r="AT53" t="s">
        <v>85</v>
      </c>
      <c r="AU53" t="s">
        <v>85</v>
      </c>
      <c r="AV53" t="s">
        <v>84</v>
      </c>
      <c r="AW53">
        <f t="shared" si="8"/>
        <v>1</v>
      </c>
      <c r="AX53">
        <f t="shared" si="9"/>
        <v>28.571428571428569</v>
      </c>
      <c r="AY53" t="str">
        <f t="shared" si="24"/>
        <v>Low</v>
      </c>
      <c r="AZ53" t="s">
        <v>84</v>
      </c>
      <c r="BA53" t="s">
        <v>84</v>
      </c>
      <c r="BB53" t="s">
        <v>84</v>
      </c>
      <c r="BC53" t="s">
        <v>84</v>
      </c>
      <c r="BD53" t="s">
        <v>84</v>
      </c>
      <c r="BE53" t="s">
        <v>84</v>
      </c>
      <c r="BF53" t="s">
        <v>85</v>
      </c>
      <c r="BG53" t="s">
        <v>85</v>
      </c>
      <c r="BH53">
        <f t="shared" si="10"/>
        <v>6</v>
      </c>
      <c r="BI53">
        <f t="shared" si="11"/>
        <v>85.714285714285708</v>
      </c>
      <c r="BJ53" t="str">
        <f t="shared" si="25"/>
        <v>High</v>
      </c>
      <c r="BK53" t="s">
        <v>84</v>
      </c>
      <c r="BL53" t="s">
        <v>85</v>
      </c>
      <c r="BM53" t="s">
        <v>84</v>
      </c>
      <c r="BN53" t="s">
        <v>84</v>
      </c>
      <c r="BO53">
        <f t="shared" si="12"/>
        <v>3</v>
      </c>
      <c r="BP53">
        <f t="shared" si="13"/>
        <v>42.857142857142854</v>
      </c>
      <c r="BQ53" t="str">
        <f t="shared" si="14"/>
        <v>Medium</v>
      </c>
      <c r="BR53">
        <f t="shared" si="26"/>
        <v>51.612903225806448</v>
      </c>
      <c r="BS53">
        <f t="shared" si="27"/>
        <v>16</v>
      </c>
      <c r="BT53" t="str">
        <f t="shared" si="28"/>
        <v>Moderate</v>
      </c>
      <c r="BU53" t="s">
        <v>92</v>
      </c>
      <c r="BV53" s="13" t="s">
        <v>114</v>
      </c>
      <c r="BW53" s="9">
        <v>2023</v>
      </c>
      <c r="BX53" s="10" t="s">
        <v>88</v>
      </c>
      <c r="BY53" s="8">
        <v>0.1</v>
      </c>
      <c r="BZ53" t="s">
        <v>94</v>
      </c>
    </row>
    <row r="54" spans="1:78" x14ac:dyDescent="0.25">
      <c r="A54" t="s">
        <v>195</v>
      </c>
      <c r="B54">
        <v>48.883611111111101</v>
      </c>
      <c r="C54">
        <v>10.566388888888801</v>
      </c>
      <c r="D54" s="8">
        <v>1749</v>
      </c>
      <c r="E54" s="8" t="str">
        <f t="shared" si="0"/>
        <v>Medium</v>
      </c>
      <c r="F54" t="s">
        <v>79</v>
      </c>
      <c r="G54" t="s">
        <v>179</v>
      </c>
      <c r="H54">
        <v>2022</v>
      </c>
      <c r="I54" t="s">
        <v>98</v>
      </c>
      <c r="J54" t="s">
        <v>10</v>
      </c>
      <c r="K54" t="s">
        <v>196</v>
      </c>
      <c r="L54" t="s">
        <v>104</v>
      </c>
      <c r="M54" t="s">
        <v>84</v>
      </c>
      <c r="N54" t="s">
        <v>85</v>
      </c>
      <c r="O54" t="s">
        <v>85</v>
      </c>
      <c r="P54" t="s">
        <v>84</v>
      </c>
      <c r="Q54" t="s">
        <v>84</v>
      </c>
      <c r="R54" t="s">
        <v>84</v>
      </c>
      <c r="S54" s="8">
        <f t="shared" si="1"/>
        <v>4</v>
      </c>
      <c r="T54" s="8">
        <v>0</v>
      </c>
      <c r="U54" s="8">
        <f t="shared" si="2"/>
        <v>66.666666666666657</v>
      </c>
      <c r="V54" t="str">
        <f t="shared" si="3"/>
        <v>Medium</v>
      </c>
      <c r="X54" t="s">
        <v>84</v>
      </c>
      <c r="Y54" t="s">
        <v>84</v>
      </c>
      <c r="Z54" t="s">
        <v>84</v>
      </c>
      <c r="AA54" t="s">
        <v>84</v>
      </c>
      <c r="AB54" t="s">
        <v>85</v>
      </c>
      <c r="AC54" t="s">
        <v>85</v>
      </c>
      <c r="AD54">
        <f t="shared" si="4"/>
        <v>4</v>
      </c>
      <c r="AE54">
        <f t="shared" si="5"/>
        <v>57.142857142857139</v>
      </c>
      <c r="AF54" t="str">
        <f t="shared" si="22"/>
        <v>Medium</v>
      </c>
      <c r="AG54" t="s">
        <v>85</v>
      </c>
      <c r="AH54" t="s">
        <v>85</v>
      </c>
      <c r="AI54" t="s">
        <v>85</v>
      </c>
      <c r="AJ54" t="s">
        <v>85</v>
      </c>
      <c r="AK54" t="s">
        <v>84</v>
      </c>
      <c r="AL54" t="s">
        <v>85</v>
      </c>
      <c r="AM54">
        <f t="shared" si="6"/>
        <v>1</v>
      </c>
      <c r="AN54">
        <f t="shared" si="7"/>
        <v>14.285714285714285</v>
      </c>
      <c r="AO54" t="str">
        <f t="shared" si="23"/>
        <v>Low</v>
      </c>
      <c r="AP54" t="s">
        <v>84</v>
      </c>
      <c r="AQ54" t="s">
        <v>84</v>
      </c>
      <c r="AR54" t="s">
        <v>84</v>
      </c>
      <c r="AS54" t="s">
        <v>84</v>
      </c>
      <c r="AT54" t="s">
        <v>84</v>
      </c>
      <c r="AU54" t="s">
        <v>85</v>
      </c>
      <c r="AV54" t="s">
        <v>84</v>
      </c>
      <c r="AW54">
        <f t="shared" si="8"/>
        <v>5</v>
      </c>
      <c r="AX54">
        <f t="shared" si="9"/>
        <v>85.714285714285708</v>
      </c>
      <c r="AY54" t="str">
        <f t="shared" si="24"/>
        <v>High</v>
      </c>
      <c r="AZ54" t="s">
        <v>84</v>
      </c>
      <c r="BA54" t="s">
        <v>84</v>
      </c>
      <c r="BB54" t="s">
        <v>84</v>
      </c>
      <c r="BC54" t="s">
        <v>84</v>
      </c>
      <c r="BD54" t="s">
        <v>84</v>
      </c>
      <c r="BE54" t="s">
        <v>85</v>
      </c>
      <c r="BF54" t="s">
        <v>84</v>
      </c>
      <c r="BG54" t="s">
        <v>85</v>
      </c>
      <c r="BH54">
        <f t="shared" si="10"/>
        <v>6</v>
      </c>
      <c r="BI54">
        <f t="shared" si="11"/>
        <v>85.714285714285708</v>
      </c>
      <c r="BJ54" t="str">
        <f t="shared" si="25"/>
        <v>High</v>
      </c>
      <c r="BK54" t="s">
        <v>84</v>
      </c>
      <c r="BL54" t="s">
        <v>84</v>
      </c>
      <c r="BM54" t="s">
        <v>84</v>
      </c>
      <c r="BN54" t="s">
        <v>84</v>
      </c>
      <c r="BO54">
        <f t="shared" si="12"/>
        <v>4</v>
      </c>
      <c r="BP54">
        <f t="shared" si="13"/>
        <v>57.142857142857139</v>
      </c>
      <c r="BQ54" t="str">
        <f t="shared" si="14"/>
        <v>Medium</v>
      </c>
      <c r="BR54">
        <f t="shared" si="26"/>
        <v>67.741935483870961</v>
      </c>
      <c r="BS54">
        <f t="shared" si="27"/>
        <v>21</v>
      </c>
      <c r="BT54" t="str">
        <f t="shared" si="28"/>
        <v>High</v>
      </c>
      <c r="BU54" t="s">
        <v>105</v>
      </c>
      <c r="BV54" s="13" t="s">
        <v>99</v>
      </c>
      <c r="BX54" s="10" t="s">
        <v>115</v>
      </c>
      <c r="BZ54" t="s">
        <v>101</v>
      </c>
    </row>
    <row r="55" spans="1:78" x14ac:dyDescent="0.25">
      <c r="A55" t="s">
        <v>197</v>
      </c>
      <c r="B55">
        <v>37.712222222222202</v>
      </c>
      <c r="C55">
        <v>-5.6344444444444397</v>
      </c>
      <c r="D55" s="8">
        <v>1774.84</v>
      </c>
      <c r="E55" s="8" t="str">
        <f t="shared" si="0"/>
        <v>Medium</v>
      </c>
      <c r="F55" t="s">
        <v>79</v>
      </c>
      <c r="G55" t="s">
        <v>90</v>
      </c>
      <c r="H55">
        <v>2011</v>
      </c>
      <c r="I55" t="s">
        <v>103</v>
      </c>
      <c r="J55" t="s">
        <v>91</v>
      </c>
      <c r="L55" t="s">
        <v>83</v>
      </c>
      <c r="M55" t="s">
        <v>85</v>
      </c>
      <c r="N55" t="s">
        <v>85</v>
      </c>
      <c r="O55" t="s">
        <v>85</v>
      </c>
      <c r="P55" t="s">
        <v>85</v>
      </c>
      <c r="Q55" t="s">
        <v>84</v>
      </c>
      <c r="R55" t="s">
        <v>85</v>
      </c>
      <c r="S55" s="8">
        <f t="shared" si="1"/>
        <v>1</v>
      </c>
      <c r="T55" s="8">
        <v>0</v>
      </c>
      <c r="U55" s="8">
        <f t="shared" si="2"/>
        <v>16.666666666666664</v>
      </c>
      <c r="V55" t="str">
        <f t="shared" si="3"/>
        <v>Low</v>
      </c>
      <c r="X55" t="s">
        <v>84</v>
      </c>
      <c r="Y55" t="s">
        <v>84</v>
      </c>
      <c r="Z55" t="s">
        <v>84</v>
      </c>
      <c r="AA55" t="s">
        <v>84</v>
      </c>
      <c r="AB55" t="s">
        <v>85</v>
      </c>
      <c r="AC55" t="s">
        <v>85</v>
      </c>
      <c r="AD55">
        <f t="shared" si="4"/>
        <v>4</v>
      </c>
      <c r="AE55">
        <f t="shared" si="5"/>
        <v>57.142857142857139</v>
      </c>
      <c r="AF55" t="str">
        <f t="shared" si="22"/>
        <v>Medium</v>
      </c>
      <c r="AG55" t="s">
        <v>84</v>
      </c>
      <c r="AH55" t="s">
        <v>85</v>
      </c>
      <c r="AI55" t="s">
        <v>85</v>
      </c>
      <c r="AJ55" t="s">
        <v>85</v>
      </c>
      <c r="AK55" t="s">
        <v>84</v>
      </c>
      <c r="AL55" t="s">
        <v>84</v>
      </c>
      <c r="AM55">
        <f t="shared" si="6"/>
        <v>3</v>
      </c>
      <c r="AN55">
        <f t="shared" si="7"/>
        <v>42.857142857142854</v>
      </c>
      <c r="AO55" t="str">
        <f t="shared" si="23"/>
        <v>Medium</v>
      </c>
      <c r="AP55" t="s">
        <v>84</v>
      </c>
      <c r="AQ55" t="s">
        <v>85</v>
      </c>
      <c r="AR55" t="s">
        <v>84</v>
      </c>
      <c r="AS55" t="s">
        <v>84</v>
      </c>
      <c r="AT55" t="s">
        <v>85</v>
      </c>
      <c r="AU55" t="s">
        <v>84</v>
      </c>
      <c r="AV55" t="s">
        <v>85</v>
      </c>
      <c r="AW55">
        <f t="shared" si="8"/>
        <v>4</v>
      </c>
      <c r="AX55">
        <f t="shared" si="9"/>
        <v>57.142857142857139</v>
      </c>
      <c r="AY55" t="str">
        <f t="shared" si="24"/>
        <v>Medium</v>
      </c>
      <c r="AZ55" t="s">
        <v>84</v>
      </c>
      <c r="BA55" t="s">
        <v>84</v>
      </c>
      <c r="BB55" t="s">
        <v>85</v>
      </c>
      <c r="BC55" t="s">
        <v>84</v>
      </c>
      <c r="BD55" t="s">
        <v>84</v>
      </c>
      <c r="BE55" t="s">
        <v>85</v>
      </c>
      <c r="BF55" t="s">
        <v>85</v>
      </c>
      <c r="BG55" t="s">
        <v>85</v>
      </c>
      <c r="BH55">
        <f t="shared" si="10"/>
        <v>4</v>
      </c>
      <c r="BI55">
        <f t="shared" si="11"/>
        <v>57.142857142857139</v>
      </c>
      <c r="BJ55" t="str">
        <f t="shared" si="25"/>
        <v>Medium</v>
      </c>
      <c r="BK55" t="s">
        <v>85</v>
      </c>
      <c r="BL55" t="s">
        <v>85</v>
      </c>
      <c r="BM55" t="s">
        <v>85</v>
      </c>
      <c r="BN55" t="s">
        <v>84</v>
      </c>
      <c r="BO55">
        <f t="shared" si="12"/>
        <v>1</v>
      </c>
      <c r="BP55">
        <f t="shared" si="13"/>
        <v>14.285714285714285</v>
      </c>
      <c r="BQ55" t="str">
        <f t="shared" si="14"/>
        <v>Low</v>
      </c>
      <c r="BR55">
        <f t="shared" si="26"/>
        <v>51.612903225806448</v>
      </c>
      <c r="BS55">
        <f t="shared" si="27"/>
        <v>16</v>
      </c>
      <c r="BT55" t="str">
        <f t="shared" si="28"/>
        <v>Moderate</v>
      </c>
      <c r="BU55" t="s">
        <v>92</v>
      </c>
      <c r="BV55" s="13" t="s">
        <v>93</v>
      </c>
      <c r="BW55" s="9">
        <v>2021</v>
      </c>
      <c r="BX55" s="10" t="s">
        <v>109</v>
      </c>
      <c r="BZ55" t="s">
        <v>101</v>
      </c>
    </row>
    <row r="56" spans="1:78" x14ac:dyDescent="0.25">
      <c r="A56" t="s">
        <v>198</v>
      </c>
      <c r="B56">
        <v>35.442222222222199</v>
      </c>
      <c r="C56">
        <v>118.048055555555</v>
      </c>
      <c r="D56" s="8">
        <v>1804.76</v>
      </c>
      <c r="E56" s="8" t="str">
        <f t="shared" si="0"/>
        <v>Medium</v>
      </c>
      <c r="F56" t="s">
        <v>96</v>
      </c>
      <c r="G56" t="s">
        <v>97</v>
      </c>
      <c r="H56">
        <v>2019</v>
      </c>
      <c r="I56" t="s">
        <v>98</v>
      </c>
      <c r="J56" t="s">
        <v>91</v>
      </c>
      <c r="L56" t="s">
        <v>199</v>
      </c>
      <c r="M56" t="s">
        <v>85</v>
      </c>
      <c r="N56" t="s">
        <v>85</v>
      </c>
      <c r="O56" t="s">
        <v>85</v>
      </c>
      <c r="P56" t="s">
        <v>85</v>
      </c>
      <c r="Q56" t="s">
        <v>84</v>
      </c>
      <c r="R56" t="s">
        <v>85</v>
      </c>
      <c r="S56" s="8">
        <f t="shared" si="1"/>
        <v>1</v>
      </c>
      <c r="T56" s="8">
        <v>0</v>
      </c>
      <c r="U56" s="8">
        <f t="shared" si="2"/>
        <v>16.666666666666664</v>
      </c>
      <c r="V56" t="str">
        <f t="shared" si="3"/>
        <v>Low</v>
      </c>
      <c r="X56" t="s">
        <v>84</v>
      </c>
      <c r="Y56" t="s">
        <v>84</v>
      </c>
      <c r="Z56" t="s">
        <v>85</v>
      </c>
      <c r="AA56" t="s">
        <v>84</v>
      </c>
      <c r="AB56" t="s">
        <v>84</v>
      </c>
      <c r="AC56" t="s">
        <v>85</v>
      </c>
      <c r="AD56">
        <f t="shared" si="4"/>
        <v>4</v>
      </c>
      <c r="AE56">
        <f t="shared" si="5"/>
        <v>57.142857142857139</v>
      </c>
      <c r="AF56" t="str">
        <f t="shared" si="22"/>
        <v>Medium</v>
      </c>
      <c r="AG56" t="s">
        <v>84</v>
      </c>
      <c r="AH56" t="s">
        <v>84</v>
      </c>
      <c r="AI56" t="s">
        <v>85</v>
      </c>
      <c r="AJ56" t="s">
        <v>85</v>
      </c>
      <c r="AK56" t="s">
        <v>85</v>
      </c>
      <c r="AL56" t="s">
        <v>85</v>
      </c>
      <c r="AM56">
        <f t="shared" si="6"/>
        <v>2</v>
      </c>
      <c r="AN56">
        <f t="shared" si="7"/>
        <v>28.571428571428569</v>
      </c>
      <c r="AO56" t="str">
        <f t="shared" si="23"/>
        <v>Low</v>
      </c>
      <c r="AP56" t="s">
        <v>84</v>
      </c>
      <c r="AQ56" t="s">
        <v>85</v>
      </c>
      <c r="AR56" t="s">
        <v>85</v>
      </c>
      <c r="AS56" t="s">
        <v>84</v>
      </c>
      <c r="AT56" t="s">
        <v>84</v>
      </c>
      <c r="AU56" t="s">
        <v>84</v>
      </c>
      <c r="AV56" t="s">
        <v>85</v>
      </c>
      <c r="AW56">
        <f t="shared" si="8"/>
        <v>4</v>
      </c>
      <c r="AX56">
        <f t="shared" si="9"/>
        <v>57.142857142857139</v>
      </c>
      <c r="AY56" t="str">
        <f t="shared" si="24"/>
        <v>Medium</v>
      </c>
      <c r="AZ56" t="s">
        <v>85</v>
      </c>
      <c r="BA56" t="s">
        <v>85</v>
      </c>
      <c r="BB56" t="s">
        <v>84</v>
      </c>
      <c r="BC56" t="s">
        <v>84</v>
      </c>
      <c r="BD56" t="s">
        <v>84</v>
      </c>
      <c r="BE56" t="s">
        <v>85</v>
      </c>
      <c r="BF56" t="s">
        <v>85</v>
      </c>
      <c r="BG56" t="s">
        <v>85</v>
      </c>
      <c r="BH56">
        <f t="shared" si="10"/>
        <v>3</v>
      </c>
      <c r="BI56">
        <f t="shared" si="11"/>
        <v>42.857142857142854</v>
      </c>
      <c r="BJ56" t="str">
        <f t="shared" si="25"/>
        <v>Medium</v>
      </c>
      <c r="BK56" t="s">
        <v>85</v>
      </c>
      <c r="BL56" t="s">
        <v>85</v>
      </c>
      <c r="BM56" t="s">
        <v>85</v>
      </c>
      <c r="BN56" t="s">
        <v>84</v>
      </c>
      <c r="BO56">
        <f t="shared" si="12"/>
        <v>1</v>
      </c>
      <c r="BP56">
        <f t="shared" si="13"/>
        <v>14.285714285714285</v>
      </c>
      <c r="BQ56" t="str">
        <f t="shared" si="14"/>
        <v>Low</v>
      </c>
      <c r="BR56">
        <f t="shared" si="26"/>
        <v>45.161290322580641</v>
      </c>
      <c r="BS56">
        <f t="shared" si="27"/>
        <v>14</v>
      </c>
      <c r="BT56" t="str">
        <f t="shared" si="28"/>
        <v>Moderate</v>
      </c>
      <c r="BU56" t="s">
        <v>92</v>
      </c>
      <c r="BV56" s="13" t="s">
        <v>99</v>
      </c>
      <c r="BX56" s="10" t="s">
        <v>100</v>
      </c>
      <c r="BY56" s="8"/>
      <c r="BZ56" t="s">
        <v>87</v>
      </c>
    </row>
    <row r="57" spans="1:78" x14ac:dyDescent="0.25">
      <c r="A57" t="s">
        <v>200</v>
      </c>
      <c r="B57">
        <v>33.499722222222204</v>
      </c>
      <c r="C57">
        <v>126.56805555555501</v>
      </c>
      <c r="D57" s="8">
        <v>1847</v>
      </c>
      <c r="E57" s="8" t="str">
        <f t="shared" si="0"/>
        <v>Medium</v>
      </c>
      <c r="F57" t="s">
        <v>96</v>
      </c>
      <c r="G57" t="s">
        <v>168</v>
      </c>
      <c r="H57">
        <v>2010</v>
      </c>
      <c r="I57" t="s">
        <v>81</v>
      </c>
      <c r="J57" t="s">
        <v>113</v>
      </c>
      <c r="L57" t="s">
        <v>104</v>
      </c>
      <c r="M57" t="s">
        <v>85</v>
      </c>
      <c r="N57" t="s">
        <v>85</v>
      </c>
      <c r="O57" t="s">
        <v>85</v>
      </c>
      <c r="P57" t="s">
        <v>84</v>
      </c>
      <c r="Q57" t="s">
        <v>85</v>
      </c>
      <c r="R57" t="s">
        <v>85</v>
      </c>
      <c r="S57" s="8">
        <f t="shared" si="1"/>
        <v>1</v>
      </c>
      <c r="T57" s="8">
        <v>0</v>
      </c>
      <c r="U57" s="8">
        <f t="shared" si="2"/>
        <v>16.666666666666664</v>
      </c>
      <c r="V57" t="str">
        <f t="shared" si="3"/>
        <v>Low</v>
      </c>
      <c r="X57" t="s">
        <v>84</v>
      </c>
      <c r="Y57" t="s">
        <v>85</v>
      </c>
      <c r="Z57" t="s">
        <v>84</v>
      </c>
      <c r="AA57" t="s">
        <v>84</v>
      </c>
      <c r="AB57" t="s">
        <v>84</v>
      </c>
      <c r="AC57" t="s">
        <v>85</v>
      </c>
      <c r="AD57">
        <f t="shared" si="4"/>
        <v>4</v>
      </c>
      <c r="AE57">
        <f t="shared" si="5"/>
        <v>57.142857142857139</v>
      </c>
      <c r="AF57" t="str">
        <f t="shared" si="22"/>
        <v>Medium</v>
      </c>
      <c r="AG57" t="s">
        <v>84</v>
      </c>
      <c r="AH57" t="s">
        <v>84</v>
      </c>
      <c r="AI57" t="s">
        <v>85</v>
      </c>
      <c r="AJ57" t="s">
        <v>84</v>
      </c>
      <c r="AK57" t="s">
        <v>84</v>
      </c>
      <c r="AL57" t="s">
        <v>84</v>
      </c>
      <c r="AM57">
        <f t="shared" si="6"/>
        <v>5</v>
      </c>
      <c r="AN57">
        <f t="shared" si="7"/>
        <v>71.428571428571431</v>
      </c>
      <c r="AO57" t="str">
        <f t="shared" si="23"/>
        <v>High</v>
      </c>
      <c r="AP57" t="s">
        <v>85</v>
      </c>
      <c r="AQ57" t="s">
        <v>84</v>
      </c>
      <c r="AR57" t="s">
        <v>84</v>
      </c>
      <c r="AS57" t="s">
        <v>84</v>
      </c>
      <c r="AT57" t="s">
        <v>84</v>
      </c>
      <c r="AU57" t="s">
        <v>84</v>
      </c>
      <c r="AV57" t="s">
        <v>85</v>
      </c>
      <c r="AW57">
        <f t="shared" si="8"/>
        <v>5</v>
      </c>
      <c r="AX57">
        <f t="shared" si="9"/>
        <v>71.428571428571431</v>
      </c>
      <c r="AY57" t="str">
        <f t="shared" si="24"/>
        <v>High</v>
      </c>
      <c r="AZ57" t="s">
        <v>84</v>
      </c>
      <c r="BA57" t="s">
        <v>84</v>
      </c>
      <c r="BB57" t="s">
        <v>84</v>
      </c>
      <c r="BC57" t="s">
        <v>84</v>
      </c>
      <c r="BD57" t="s">
        <v>84</v>
      </c>
      <c r="BE57" t="s">
        <v>84</v>
      </c>
      <c r="BF57" t="s">
        <v>84</v>
      </c>
      <c r="BG57" t="s">
        <v>85</v>
      </c>
      <c r="BH57">
        <f t="shared" si="10"/>
        <v>7</v>
      </c>
      <c r="BI57">
        <f t="shared" si="11"/>
        <v>100</v>
      </c>
      <c r="BJ57" t="str">
        <f t="shared" si="25"/>
        <v>High</v>
      </c>
      <c r="BK57" t="s">
        <v>84</v>
      </c>
      <c r="BL57" t="s">
        <v>84</v>
      </c>
      <c r="BM57" t="s">
        <v>84</v>
      </c>
      <c r="BN57" t="s">
        <v>84</v>
      </c>
      <c r="BO57">
        <f t="shared" si="12"/>
        <v>4</v>
      </c>
      <c r="BP57">
        <f t="shared" si="13"/>
        <v>57.142857142857139</v>
      </c>
      <c r="BQ57" t="str">
        <f t="shared" si="14"/>
        <v>Medium</v>
      </c>
      <c r="BR57">
        <f t="shared" si="26"/>
        <v>80.645161290322577</v>
      </c>
      <c r="BS57">
        <f t="shared" si="27"/>
        <v>25</v>
      </c>
      <c r="BT57" t="str">
        <f t="shared" si="28"/>
        <v>High</v>
      </c>
      <c r="BU57" t="s">
        <v>92</v>
      </c>
      <c r="BV57" s="13" t="s">
        <v>99</v>
      </c>
      <c r="BW57" s="9">
        <v>2022</v>
      </c>
      <c r="BX57" s="10" t="s">
        <v>88</v>
      </c>
      <c r="BZ57" t="s">
        <v>101</v>
      </c>
    </row>
    <row r="58" spans="1:78" x14ac:dyDescent="0.25">
      <c r="A58" t="s">
        <v>201</v>
      </c>
      <c r="B58">
        <v>20.143611111111099</v>
      </c>
      <c r="C58">
        <v>-98.673888888888897</v>
      </c>
      <c r="D58" s="8">
        <v>1848</v>
      </c>
      <c r="E58" s="8" t="str">
        <f t="shared" si="0"/>
        <v>Medium</v>
      </c>
      <c r="F58" t="s">
        <v>130</v>
      </c>
      <c r="G58" t="s">
        <v>131</v>
      </c>
      <c r="H58">
        <v>2017</v>
      </c>
      <c r="I58" t="s">
        <v>98</v>
      </c>
      <c r="J58" t="s">
        <v>10</v>
      </c>
      <c r="K58" t="s">
        <v>202</v>
      </c>
      <c r="L58" t="s">
        <v>83</v>
      </c>
      <c r="M58" t="s">
        <v>85</v>
      </c>
      <c r="N58" t="s">
        <v>85</v>
      </c>
      <c r="O58" t="s">
        <v>85</v>
      </c>
      <c r="P58" t="s">
        <v>84</v>
      </c>
      <c r="Q58" t="s">
        <v>84</v>
      </c>
      <c r="R58" t="s">
        <v>84</v>
      </c>
      <c r="S58" s="8">
        <f t="shared" si="1"/>
        <v>3</v>
      </c>
      <c r="T58" s="8">
        <v>0</v>
      </c>
      <c r="U58" s="8">
        <f t="shared" si="2"/>
        <v>50</v>
      </c>
      <c r="V58" t="str">
        <f t="shared" si="3"/>
        <v>Medium</v>
      </c>
      <c r="X58" t="s">
        <v>85</v>
      </c>
      <c r="Y58" t="s">
        <v>84</v>
      </c>
      <c r="Z58" t="s">
        <v>84</v>
      </c>
      <c r="AA58" t="s">
        <v>85</v>
      </c>
      <c r="AB58" t="s">
        <v>85</v>
      </c>
      <c r="AC58" t="s">
        <v>85</v>
      </c>
      <c r="AD58">
        <f t="shared" si="4"/>
        <v>2</v>
      </c>
      <c r="AE58">
        <f t="shared" si="5"/>
        <v>28.571428571428569</v>
      </c>
      <c r="AF58" t="str">
        <f t="shared" si="22"/>
        <v>Low</v>
      </c>
      <c r="AG58" t="s">
        <v>85</v>
      </c>
      <c r="AH58" t="s">
        <v>85</v>
      </c>
      <c r="AI58" t="s">
        <v>85</v>
      </c>
      <c r="AJ58" t="s">
        <v>84</v>
      </c>
      <c r="AK58" t="s">
        <v>84</v>
      </c>
      <c r="AL58" t="s">
        <v>85</v>
      </c>
      <c r="AM58">
        <f t="shared" si="6"/>
        <v>2</v>
      </c>
      <c r="AN58">
        <f t="shared" si="7"/>
        <v>28.571428571428569</v>
      </c>
      <c r="AO58" t="str">
        <f t="shared" si="23"/>
        <v>Low</v>
      </c>
      <c r="AP58" t="s">
        <v>85</v>
      </c>
      <c r="AQ58" t="s">
        <v>85</v>
      </c>
      <c r="AR58" t="s">
        <v>84</v>
      </c>
      <c r="AS58" t="s">
        <v>84</v>
      </c>
      <c r="AT58" t="s">
        <v>85</v>
      </c>
      <c r="AU58" t="s">
        <v>84</v>
      </c>
      <c r="AV58" t="s">
        <v>85</v>
      </c>
      <c r="AW58">
        <f t="shared" si="8"/>
        <v>3</v>
      </c>
      <c r="AX58">
        <f t="shared" si="9"/>
        <v>42.857142857142854</v>
      </c>
      <c r="AY58" t="str">
        <f t="shared" si="24"/>
        <v>Medium</v>
      </c>
      <c r="AZ58" t="s">
        <v>84</v>
      </c>
      <c r="BA58" t="s">
        <v>84</v>
      </c>
      <c r="BB58" t="s">
        <v>84</v>
      </c>
      <c r="BC58" t="s">
        <v>85</v>
      </c>
      <c r="BD58" t="s">
        <v>84</v>
      </c>
      <c r="BE58" t="s">
        <v>85</v>
      </c>
      <c r="BF58" t="s">
        <v>84</v>
      </c>
      <c r="BG58" t="s">
        <v>85</v>
      </c>
      <c r="BH58">
        <f t="shared" si="10"/>
        <v>5</v>
      </c>
      <c r="BI58">
        <f t="shared" si="11"/>
        <v>71.428571428571431</v>
      </c>
      <c r="BJ58" t="str">
        <f t="shared" si="25"/>
        <v>High</v>
      </c>
      <c r="BK58" t="s">
        <v>84</v>
      </c>
      <c r="BL58" t="s">
        <v>84</v>
      </c>
      <c r="BM58" t="s">
        <v>85</v>
      </c>
      <c r="BN58" t="s">
        <v>85</v>
      </c>
      <c r="BO58">
        <f t="shared" si="12"/>
        <v>2</v>
      </c>
      <c r="BP58">
        <f t="shared" si="13"/>
        <v>28.571428571428569</v>
      </c>
      <c r="BQ58" t="str">
        <f t="shared" si="14"/>
        <v>Low</v>
      </c>
      <c r="BR58">
        <f t="shared" si="26"/>
        <v>45.161290322580641</v>
      </c>
      <c r="BS58">
        <f t="shared" si="27"/>
        <v>14</v>
      </c>
      <c r="BT58" t="str">
        <f t="shared" si="28"/>
        <v>Moderate</v>
      </c>
      <c r="BU58" t="s">
        <v>105</v>
      </c>
      <c r="BV58" s="13" t="s">
        <v>99</v>
      </c>
      <c r="BW58" s="9">
        <v>2022</v>
      </c>
      <c r="BX58" s="10" t="s">
        <v>88</v>
      </c>
      <c r="BY58" s="8">
        <v>0.15</v>
      </c>
      <c r="BZ58" t="s">
        <v>94</v>
      </c>
    </row>
    <row r="59" spans="1:78" x14ac:dyDescent="0.25">
      <c r="A59" t="s">
        <v>203</v>
      </c>
      <c r="B59">
        <v>44.571944444444398</v>
      </c>
      <c r="C59">
        <v>1.6863888888888801</v>
      </c>
      <c r="D59" s="8">
        <v>1855</v>
      </c>
      <c r="E59" s="8" t="str">
        <f t="shared" si="0"/>
        <v>Medium</v>
      </c>
      <c r="F59" t="s">
        <v>79</v>
      </c>
      <c r="G59" t="s">
        <v>192</v>
      </c>
      <c r="H59">
        <v>2017</v>
      </c>
      <c r="I59" t="s">
        <v>98</v>
      </c>
      <c r="J59" t="s">
        <v>91</v>
      </c>
      <c r="L59" t="s">
        <v>121</v>
      </c>
      <c r="M59" t="s">
        <v>85</v>
      </c>
      <c r="N59" t="s">
        <v>85</v>
      </c>
      <c r="O59" t="s">
        <v>85</v>
      </c>
      <c r="P59" t="s">
        <v>85</v>
      </c>
      <c r="Q59" t="s">
        <v>84</v>
      </c>
      <c r="R59" t="s">
        <v>84</v>
      </c>
      <c r="S59" s="8">
        <f t="shared" si="1"/>
        <v>2</v>
      </c>
      <c r="T59" s="8">
        <v>0</v>
      </c>
      <c r="U59" s="8">
        <f t="shared" si="2"/>
        <v>33.333333333333329</v>
      </c>
      <c r="V59" t="str">
        <f t="shared" si="3"/>
        <v>Medium</v>
      </c>
      <c r="X59" t="s">
        <v>85</v>
      </c>
      <c r="Y59" t="s">
        <v>85</v>
      </c>
      <c r="Z59" t="s">
        <v>85</v>
      </c>
      <c r="AA59" t="s">
        <v>84</v>
      </c>
      <c r="AB59" t="s">
        <v>85</v>
      </c>
      <c r="AC59" t="s">
        <v>85</v>
      </c>
      <c r="AD59">
        <f t="shared" si="4"/>
        <v>1</v>
      </c>
      <c r="AE59">
        <f t="shared" si="5"/>
        <v>14.285714285714285</v>
      </c>
      <c r="AF59" t="str">
        <f t="shared" si="22"/>
        <v>Low</v>
      </c>
      <c r="AG59" t="s">
        <v>85</v>
      </c>
      <c r="AH59" t="s">
        <v>85</v>
      </c>
      <c r="AI59" t="s">
        <v>85</v>
      </c>
      <c r="AJ59" t="s">
        <v>85</v>
      </c>
      <c r="AK59" t="s">
        <v>85</v>
      </c>
      <c r="AL59" t="s">
        <v>84</v>
      </c>
      <c r="AM59">
        <f t="shared" si="6"/>
        <v>1</v>
      </c>
      <c r="AN59">
        <f t="shared" si="7"/>
        <v>14.285714285714285</v>
      </c>
      <c r="AO59" t="str">
        <f t="shared" si="23"/>
        <v>Low</v>
      </c>
      <c r="AP59" t="s">
        <v>84</v>
      </c>
      <c r="AQ59" t="s">
        <v>85</v>
      </c>
      <c r="AR59" t="s">
        <v>85</v>
      </c>
      <c r="AS59" t="s">
        <v>85</v>
      </c>
      <c r="AT59" t="s">
        <v>85</v>
      </c>
      <c r="AU59" t="s">
        <v>85</v>
      </c>
      <c r="AV59" t="s">
        <v>85</v>
      </c>
      <c r="AW59">
        <f t="shared" si="8"/>
        <v>1</v>
      </c>
      <c r="AX59">
        <f t="shared" si="9"/>
        <v>14.285714285714285</v>
      </c>
      <c r="AY59" t="str">
        <f t="shared" si="24"/>
        <v>Low</v>
      </c>
      <c r="AZ59" t="s">
        <v>85</v>
      </c>
      <c r="BA59" t="s">
        <v>85</v>
      </c>
      <c r="BB59" t="s">
        <v>85</v>
      </c>
      <c r="BC59" t="s">
        <v>85</v>
      </c>
      <c r="BD59" t="s">
        <v>85</v>
      </c>
      <c r="BE59" t="s">
        <v>85</v>
      </c>
      <c r="BF59" t="s">
        <v>85</v>
      </c>
      <c r="BG59" t="s">
        <v>85</v>
      </c>
      <c r="BH59">
        <f t="shared" si="10"/>
        <v>0</v>
      </c>
      <c r="BI59">
        <f t="shared" si="11"/>
        <v>0</v>
      </c>
      <c r="BJ59" t="str">
        <f t="shared" si="25"/>
        <v>Low</v>
      </c>
      <c r="BK59" t="s">
        <v>85</v>
      </c>
      <c r="BL59" t="s">
        <v>85</v>
      </c>
      <c r="BM59" t="s">
        <v>85</v>
      </c>
      <c r="BN59" t="s">
        <v>85</v>
      </c>
      <c r="BO59">
        <f t="shared" si="12"/>
        <v>0</v>
      </c>
      <c r="BP59">
        <f t="shared" si="13"/>
        <v>0</v>
      </c>
      <c r="BQ59" t="str">
        <f t="shared" si="14"/>
        <v>Low</v>
      </c>
      <c r="BR59">
        <f t="shared" si="26"/>
        <v>9.67741935483871</v>
      </c>
      <c r="BS59">
        <f t="shared" si="27"/>
        <v>3</v>
      </c>
      <c r="BT59" t="str">
        <f t="shared" si="28"/>
        <v>Low</v>
      </c>
      <c r="BU59" t="s">
        <v>92</v>
      </c>
      <c r="BV59" s="13" t="s">
        <v>88</v>
      </c>
      <c r="BW59" s="9">
        <v>2021</v>
      </c>
      <c r="BX59" s="10" t="s">
        <v>109</v>
      </c>
      <c r="BZ59" t="s">
        <v>101</v>
      </c>
    </row>
    <row r="60" spans="1:78" x14ac:dyDescent="0.25">
      <c r="A60" t="s">
        <v>204</v>
      </c>
      <c r="B60">
        <v>39.9311111111111</v>
      </c>
      <c r="C60">
        <v>16.126111111111101</v>
      </c>
      <c r="D60" s="8">
        <v>1925</v>
      </c>
      <c r="E60" s="8" t="str">
        <f t="shared" si="0"/>
        <v>Medium</v>
      </c>
      <c r="F60" t="s">
        <v>79</v>
      </c>
      <c r="G60" t="s">
        <v>185</v>
      </c>
      <c r="H60">
        <v>2015</v>
      </c>
      <c r="I60" t="s">
        <v>98</v>
      </c>
      <c r="J60" t="s">
        <v>113</v>
      </c>
      <c r="L60" t="s">
        <v>199</v>
      </c>
      <c r="M60" t="s">
        <v>84</v>
      </c>
      <c r="N60" t="s">
        <v>85</v>
      </c>
      <c r="O60" t="s">
        <v>85</v>
      </c>
      <c r="P60" t="s">
        <v>85</v>
      </c>
      <c r="Q60" t="s">
        <v>84</v>
      </c>
      <c r="R60" t="s">
        <v>85</v>
      </c>
      <c r="S60" s="8">
        <f t="shared" si="1"/>
        <v>2</v>
      </c>
      <c r="T60" s="8">
        <v>0</v>
      </c>
      <c r="U60" s="8">
        <f t="shared" si="2"/>
        <v>33.333333333333329</v>
      </c>
      <c r="V60" t="str">
        <f t="shared" si="3"/>
        <v>Medium</v>
      </c>
      <c r="X60" t="s">
        <v>84</v>
      </c>
      <c r="Y60" t="s">
        <v>84</v>
      </c>
      <c r="Z60" t="s">
        <v>84</v>
      </c>
      <c r="AA60" t="s">
        <v>85</v>
      </c>
      <c r="AB60" t="s">
        <v>85</v>
      </c>
      <c r="AC60" t="s">
        <v>85</v>
      </c>
      <c r="AD60">
        <f t="shared" si="4"/>
        <v>3</v>
      </c>
      <c r="AE60">
        <f t="shared" si="5"/>
        <v>42.857142857142854</v>
      </c>
      <c r="AF60" t="str">
        <f t="shared" si="22"/>
        <v>Medium</v>
      </c>
      <c r="AG60" t="s">
        <v>85</v>
      </c>
      <c r="AH60" t="s">
        <v>85</v>
      </c>
      <c r="AI60" t="s">
        <v>85</v>
      </c>
      <c r="AJ60" t="s">
        <v>84</v>
      </c>
      <c r="AK60" t="s">
        <v>84</v>
      </c>
      <c r="AL60" t="s">
        <v>85</v>
      </c>
      <c r="AM60">
        <f t="shared" si="6"/>
        <v>2</v>
      </c>
      <c r="AN60">
        <f t="shared" si="7"/>
        <v>28.571428571428569</v>
      </c>
      <c r="AO60" t="str">
        <f t="shared" si="23"/>
        <v>Low</v>
      </c>
      <c r="AP60" t="s">
        <v>85</v>
      </c>
      <c r="AQ60" t="s">
        <v>85</v>
      </c>
      <c r="AR60" t="s">
        <v>85</v>
      </c>
      <c r="AS60" t="s">
        <v>84</v>
      </c>
      <c r="AT60" t="s">
        <v>85</v>
      </c>
      <c r="AU60" t="s">
        <v>85</v>
      </c>
      <c r="AV60" t="s">
        <v>84</v>
      </c>
      <c r="AW60">
        <f t="shared" si="8"/>
        <v>1</v>
      </c>
      <c r="AX60">
        <f t="shared" si="9"/>
        <v>28.571428571428569</v>
      </c>
      <c r="AY60" t="str">
        <f t="shared" si="24"/>
        <v>Low</v>
      </c>
      <c r="AZ60" t="s">
        <v>85</v>
      </c>
      <c r="BA60" t="s">
        <v>85</v>
      </c>
      <c r="BB60" t="s">
        <v>84</v>
      </c>
      <c r="BC60" t="s">
        <v>84</v>
      </c>
      <c r="BD60" t="s">
        <v>84</v>
      </c>
      <c r="BE60" t="s">
        <v>85</v>
      </c>
      <c r="BF60" t="s">
        <v>84</v>
      </c>
      <c r="BG60" t="s">
        <v>85</v>
      </c>
      <c r="BH60">
        <f t="shared" si="10"/>
        <v>4</v>
      </c>
      <c r="BI60">
        <f t="shared" si="11"/>
        <v>57.142857142857139</v>
      </c>
      <c r="BJ60" t="str">
        <f t="shared" si="25"/>
        <v>Medium</v>
      </c>
      <c r="BK60" t="s">
        <v>85</v>
      </c>
      <c r="BL60" t="s">
        <v>85</v>
      </c>
      <c r="BM60" t="s">
        <v>85</v>
      </c>
      <c r="BN60" t="s">
        <v>84</v>
      </c>
      <c r="BO60">
        <f t="shared" si="12"/>
        <v>1</v>
      </c>
      <c r="BP60">
        <f t="shared" si="13"/>
        <v>14.285714285714285</v>
      </c>
      <c r="BQ60" t="str">
        <f t="shared" si="14"/>
        <v>Low</v>
      </c>
      <c r="BR60">
        <f t="shared" si="26"/>
        <v>38.70967741935484</v>
      </c>
      <c r="BS60">
        <f t="shared" si="27"/>
        <v>12</v>
      </c>
      <c r="BT60" t="str">
        <f t="shared" si="28"/>
        <v>Moderate</v>
      </c>
      <c r="BU60" t="s">
        <v>92</v>
      </c>
      <c r="BV60" s="13" t="s">
        <v>93</v>
      </c>
      <c r="BW60" s="9">
        <v>2023</v>
      </c>
      <c r="BX60" s="10" t="s">
        <v>88</v>
      </c>
      <c r="BZ60" t="s">
        <v>101</v>
      </c>
    </row>
    <row r="61" spans="1:78" x14ac:dyDescent="0.25">
      <c r="A61" t="s">
        <v>205</v>
      </c>
      <c r="B61">
        <v>54.788055555555502</v>
      </c>
      <c r="C61">
        <v>-2.4169444444444399</v>
      </c>
      <c r="D61" s="8">
        <v>1938</v>
      </c>
      <c r="E61" s="8" t="str">
        <f t="shared" si="0"/>
        <v>Medium</v>
      </c>
      <c r="F61" t="s">
        <v>79</v>
      </c>
      <c r="G61" t="s">
        <v>153</v>
      </c>
      <c r="H61">
        <v>2004</v>
      </c>
      <c r="I61" t="s">
        <v>81</v>
      </c>
      <c r="J61" t="s">
        <v>10</v>
      </c>
      <c r="K61" t="s">
        <v>206</v>
      </c>
      <c r="L61" t="s">
        <v>104</v>
      </c>
      <c r="M61" t="s">
        <v>85</v>
      </c>
      <c r="N61" t="s">
        <v>85</v>
      </c>
      <c r="O61" t="s">
        <v>85</v>
      </c>
      <c r="P61" t="s">
        <v>85</v>
      </c>
      <c r="Q61" t="s">
        <v>85</v>
      </c>
      <c r="R61" t="s">
        <v>85</v>
      </c>
      <c r="S61" s="8">
        <f t="shared" si="1"/>
        <v>0</v>
      </c>
      <c r="T61" s="8">
        <v>0</v>
      </c>
      <c r="U61" s="8">
        <f t="shared" si="2"/>
        <v>0</v>
      </c>
      <c r="V61" t="str">
        <f t="shared" si="3"/>
        <v>Low</v>
      </c>
      <c r="X61" t="s">
        <v>84</v>
      </c>
      <c r="Y61" t="s">
        <v>85</v>
      </c>
      <c r="Z61" t="s">
        <v>84</v>
      </c>
      <c r="AA61" t="s">
        <v>85</v>
      </c>
      <c r="AB61" t="s">
        <v>85</v>
      </c>
      <c r="AC61" t="s">
        <v>85</v>
      </c>
      <c r="AD61">
        <f t="shared" si="4"/>
        <v>2</v>
      </c>
      <c r="AE61">
        <f t="shared" si="5"/>
        <v>28.571428571428569</v>
      </c>
      <c r="AF61" t="str">
        <f t="shared" si="22"/>
        <v>Low</v>
      </c>
      <c r="AG61" t="s">
        <v>84</v>
      </c>
      <c r="AH61" t="s">
        <v>84</v>
      </c>
      <c r="AI61" t="s">
        <v>84</v>
      </c>
      <c r="AJ61" t="s">
        <v>84</v>
      </c>
      <c r="AK61" t="s">
        <v>84</v>
      </c>
      <c r="AL61" t="s">
        <v>84</v>
      </c>
      <c r="AM61">
        <f t="shared" si="6"/>
        <v>6</v>
      </c>
      <c r="AN61">
        <f t="shared" si="7"/>
        <v>85.714285714285708</v>
      </c>
      <c r="AO61" t="str">
        <f t="shared" si="23"/>
        <v>High</v>
      </c>
      <c r="AP61" t="s">
        <v>85</v>
      </c>
      <c r="AQ61" t="s">
        <v>85</v>
      </c>
      <c r="AR61" t="s">
        <v>84</v>
      </c>
      <c r="AS61" t="s">
        <v>84</v>
      </c>
      <c r="AT61" t="s">
        <v>85</v>
      </c>
      <c r="AU61" t="s">
        <v>85</v>
      </c>
      <c r="AV61" t="s">
        <v>85</v>
      </c>
      <c r="AW61">
        <f t="shared" si="8"/>
        <v>2</v>
      </c>
      <c r="AX61">
        <f t="shared" si="9"/>
        <v>28.571428571428569</v>
      </c>
      <c r="AY61" t="str">
        <f t="shared" si="24"/>
        <v>Low</v>
      </c>
      <c r="AZ61" t="s">
        <v>84</v>
      </c>
      <c r="BA61" t="s">
        <v>85</v>
      </c>
      <c r="BB61" t="s">
        <v>85</v>
      </c>
      <c r="BC61" t="s">
        <v>84</v>
      </c>
      <c r="BD61" t="s">
        <v>84</v>
      </c>
      <c r="BE61" t="s">
        <v>85</v>
      </c>
      <c r="BF61" t="s">
        <v>84</v>
      </c>
      <c r="BG61" t="s">
        <v>84</v>
      </c>
      <c r="BH61">
        <f t="shared" si="10"/>
        <v>5</v>
      </c>
      <c r="BI61">
        <f t="shared" si="11"/>
        <v>71.428571428571431</v>
      </c>
      <c r="BJ61" t="str">
        <f t="shared" si="25"/>
        <v>High</v>
      </c>
      <c r="BK61" t="s">
        <v>85</v>
      </c>
      <c r="BL61" t="s">
        <v>84</v>
      </c>
      <c r="BM61" t="s">
        <v>84</v>
      </c>
      <c r="BN61" t="s">
        <v>84</v>
      </c>
      <c r="BO61">
        <f t="shared" si="12"/>
        <v>3</v>
      </c>
      <c r="BP61">
        <f t="shared" si="13"/>
        <v>42.857142857142854</v>
      </c>
      <c r="BQ61" t="str">
        <f t="shared" si="14"/>
        <v>Medium</v>
      </c>
      <c r="BR61">
        <f t="shared" si="26"/>
        <v>58.064516129032263</v>
      </c>
      <c r="BS61">
        <f t="shared" si="27"/>
        <v>18</v>
      </c>
      <c r="BT61" t="str">
        <f t="shared" si="28"/>
        <v>Moderate</v>
      </c>
      <c r="BU61" t="s">
        <v>105</v>
      </c>
      <c r="BV61" s="13" t="s">
        <v>114</v>
      </c>
      <c r="BW61" s="9">
        <v>2022</v>
      </c>
      <c r="BX61" s="10" t="s">
        <v>88</v>
      </c>
      <c r="BZ61" t="s">
        <v>101</v>
      </c>
    </row>
    <row r="62" spans="1:78" x14ac:dyDescent="0.25">
      <c r="A62" t="s">
        <v>207</v>
      </c>
      <c r="B62">
        <v>43.875277779999998</v>
      </c>
      <c r="C62">
        <v>5.4355555559999997</v>
      </c>
      <c r="D62" s="8">
        <v>1953</v>
      </c>
      <c r="E62" s="8" t="str">
        <f t="shared" si="0"/>
        <v>Medium</v>
      </c>
      <c r="F62" t="s">
        <v>79</v>
      </c>
      <c r="G62" t="s">
        <v>192</v>
      </c>
      <c r="H62">
        <v>2004</v>
      </c>
      <c r="I62" t="s">
        <v>81</v>
      </c>
      <c r="J62" t="s">
        <v>91</v>
      </c>
      <c r="L62" t="s">
        <v>121</v>
      </c>
      <c r="M62" t="s">
        <v>85</v>
      </c>
      <c r="N62" t="s">
        <v>85</v>
      </c>
      <c r="O62" t="s">
        <v>85</v>
      </c>
      <c r="P62" t="s">
        <v>84</v>
      </c>
      <c r="Q62" t="s">
        <v>84</v>
      </c>
      <c r="R62" t="s">
        <v>84</v>
      </c>
      <c r="S62" s="8">
        <f t="shared" si="1"/>
        <v>3</v>
      </c>
      <c r="T62" s="8">
        <v>0</v>
      </c>
      <c r="U62" s="8">
        <f t="shared" si="2"/>
        <v>50</v>
      </c>
      <c r="V62" t="str">
        <f t="shared" si="3"/>
        <v>Medium</v>
      </c>
      <c r="X62" t="s">
        <v>84</v>
      </c>
      <c r="Y62" t="s">
        <v>84</v>
      </c>
      <c r="Z62" t="s">
        <v>84</v>
      </c>
      <c r="AA62" t="s">
        <v>84</v>
      </c>
      <c r="AB62" t="s">
        <v>84</v>
      </c>
      <c r="AC62" t="s">
        <v>84</v>
      </c>
      <c r="AD62">
        <f t="shared" si="4"/>
        <v>6</v>
      </c>
      <c r="AE62">
        <f t="shared" si="5"/>
        <v>85.714285714285708</v>
      </c>
      <c r="AF62" t="str">
        <f t="shared" si="22"/>
        <v>High</v>
      </c>
      <c r="AG62" t="s">
        <v>84</v>
      </c>
      <c r="AH62" t="s">
        <v>85</v>
      </c>
      <c r="AI62" t="s">
        <v>85</v>
      </c>
      <c r="AJ62" t="s">
        <v>85</v>
      </c>
      <c r="AK62" t="s">
        <v>84</v>
      </c>
      <c r="AL62" t="s">
        <v>84</v>
      </c>
      <c r="AM62">
        <f t="shared" si="6"/>
        <v>3</v>
      </c>
      <c r="AN62">
        <f t="shared" si="7"/>
        <v>42.857142857142854</v>
      </c>
      <c r="AO62" t="str">
        <f t="shared" si="23"/>
        <v>Medium</v>
      </c>
      <c r="AP62" t="s">
        <v>85</v>
      </c>
      <c r="AQ62" t="s">
        <v>84</v>
      </c>
      <c r="AR62" t="s">
        <v>84</v>
      </c>
      <c r="AS62" t="s">
        <v>85</v>
      </c>
      <c r="AT62" t="s">
        <v>84</v>
      </c>
      <c r="AU62" t="s">
        <v>84</v>
      </c>
      <c r="AV62" t="s">
        <v>84</v>
      </c>
      <c r="AW62">
        <f t="shared" si="8"/>
        <v>4</v>
      </c>
      <c r="AX62">
        <f t="shared" si="9"/>
        <v>71.428571428571431</v>
      </c>
      <c r="AY62" t="str">
        <f t="shared" si="24"/>
        <v>High</v>
      </c>
      <c r="AZ62" t="s">
        <v>84</v>
      </c>
      <c r="BA62" t="s">
        <v>85</v>
      </c>
      <c r="BB62" t="s">
        <v>85</v>
      </c>
      <c r="BC62" t="s">
        <v>84</v>
      </c>
      <c r="BD62" t="s">
        <v>84</v>
      </c>
      <c r="BE62" t="s">
        <v>85</v>
      </c>
      <c r="BF62" t="s">
        <v>85</v>
      </c>
      <c r="BG62" t="s">
        <v>85</v>
      </c>
      <c r="BH62">
        <f t="shared" si="10"/>
        <v>3</v>
      </c>
      <c r="BI62">
        <f t="shared" si="11"/>
        <v>42.857142857142854</v>
      </c>
      <c r="BJ62" t="str">
        <f t="shared" si="25"/>
        <v>Medium</v>
      </c>
      <c r="BK62" t="s">
        <v>84</v>
      </c>
      <c r="BL62" t="s">
        <v>84</v>
      </c>
      <c r="BM62" t="s">
        <v>84</v>
      </c>
      <c r="BN62" t="s">
        <v>84</v>
      </c>
      <c r="BO62">
        <f t="shared" si="12"/>
        <v>4</v>
      </c>
      <c r="BP62">
        <f t="shared" si="13"/>
        <v>57.142857142857139</v>
      </c>
      <c r="BQ62" t="str">
        <f t="shared" si="14"/>
        <v>Medium</v>
      </c>
      <c r="BR62">
        <f t="shared" si="26"/>
        <v>67.741935483870961</v>
      </c>
      <c r="BS62">
        <f t="shared" si="27"/>
        <v>21</v>
      </c>
      <c r="BT62" t="str">
        <f t="shared" si="28"/>
        <v>High</v>
      </c>
      <c r="BU62" t="s">
        <v>92</v>
      </c>
      <c r="BV62" s="13" t="s">
        <v>93</v>
      </c>
      <c r="BW62" s="9">
        <v>2023</v>
      </c>
      <c r="BX62" s="10" t="s">
        <v>88</v>
      </c>
      <c r="BZ62" t="s">
        <v>101</v>
      </c>
    </row>
    <row r="63" spans="1:78" x14ac:dyDescent="0.25">
      <c r="A63" t="s">
        <v>208</v>
      </c>
      <c r="B63">
        <v>45.991111111111103</v>
      </c>
      <c r="C63">
        <v>8.3433333333333302</v>
      </c>
      <c r="D63" s="8">
        <v>2023</v>
      </c>
      <c r="E63" s="8" t="str">
        <f t="shared" si="0"/>
        <v>Medium</v>
      </c>
      <c r="F63" t="s">
        <v>79</v>
      </c>
      <c r="G63" t="s">
        <v>185</v>
      </c>
      <c r="H63">
        <v>2013</v>
      </c>
      <c r="I63" t="s">
        <v>103</v>
      </c>
      <c r="J63" t="s">
        <v>82</v>
      </c>
      <c r="L63" t="s">
        <v>121</v>
      </c>
      <c r="M63" t="s">
        <v>85</v>
      </c>
      <c r="N63" t="s">
        <v>85</v>
      </c>
      <c r="O63" t="s">
        <v>85</v>
      </c>
      <c r="P63" t="s">
        <v>84</v>
      </c>
      <c r="Q63" t="s">
        <v>85</v>
      </c>
      <c r="R63" t="s">
        <v>84</v>
      </c>
      <c r="S63" s="8">
        <f t="shared" si="1"/>
        <v>2</v>
      </c>
      <c r="T63" s="8">
        <v>0</v>
      </c>
      <c r="U63" s="8">
        <f t="shared" si="2"/>
        <v>33.333333333333329</v>
      </c>
      <c r="V63" t="str">
        <f t="shared" si="3"/>
        <v>Medium</v>
      </c>
      <c r="X63" t="s">
        <v>85</v>
      </c>
      <c r="Y63" t="s">
        <v>84</v>
      </c>
      <c r="Z63" t="s">
        <v>84</v>
      </c>
      <c r="AA63" t="s">
        <v>85</v>
      </c>
      <c r="AB63" t="s">
        <v>85</v>
      </c>
      <c r="AC63" t="s">
        <v>85</v>
      </c>
      <c r="AD63">
        <f t="shared" si="4"/>
        <v>2</v>
      </c>
      <c r="AE63">
        <f t="shared" si="5"/>
        <v>28.571428571428569</v>
      </c>
      <c r="AF63" t="str">
        <f t="shared" si="22"/>
        <v>Low</v>
      </c>
      <c r="AG63" t="s">
        <v>84</v>
      </c>
      <c r="AH63" t="s">
        <v>85</v>
      </c>
      <c r="AI63" t="s">
        <v>85</v>
      </c>
      <c r="AJ63" t="s">
        <v>84</v>
      </c>
      <c r="AK63" t="s">
        <v>84</v>
      </c>
      <c r="AL63" t="s">
        <v>85</v>
      </c>
      <c r="AM63">
        <f t="shared" si="6"/>
        <v>3</v>
      </c>
      <c r="AN63">
        <f t="shared" si="7"/>
        <v>42.857142857142854</v>
      </c>
      <c r="AO63" t="str">
        <f t="shared" si="23"/>
        <v>Medium</v>
      </c>
      <c r="AP63" t="s">
        <v>84</v>
      </c>
      <c r="AQ63" t="s">
        <v>84</v>
      </c>
      <c r="AR63" t="s">
        <v>85</v>
      </c>
      <c r="AS63" t="s">
        <v>85</v>
      </c>
      <c r="AT63" t="s">
        <v>85</v>
      </c>
      <c r="AU63" t="s">
        <v>85</v>
      </c>
      <c r="AV63" t="s">
        <v>85</v>
      </c>
      <c r="AW63">
        <f t="shared" si="8"/>
        <v>2</v>
      </c>
      <c r="AX63">
        <f t="shared" si="9"/>
        <v>28.571428571428569</v>
      </c>
      <c r="AY63" t="str">
        <f t="shared" si="24"/>
        <v>Low</v>
      </c>
      <c r="AZ63" t="s">
        <v>84</v>
      </c>
      <c r="BA63" t="s">
        <v>85</v>
      </c>
      <c r="BB63" t="s">
        <v>85</v>
      </c>
      <c r="BC63" t="s">
        <v>84</v>
      </c>
      <c r="BD63" t="s">
        <v>84</v>
      </c>
      <c r="BE63" t="s">
        <v>85</v>
      </c>
      <c r="BF63" t="s">
        <v>84</v>
      </c>
      <c r="BG63" t="s">
        <v>85</v>
      </c>
      <c r="BH63">
        <f t="shared" si="10"/>
        <v>4</v>
      </c>
      <c r="BI63">
        <f t="shared" si="11"/>
        <v>57.142857142857139</v>
      </c>
      <c r="BJ63" t="str">
        <f t="shared" si="25"/>
        <v>Medium</v>
      </c>
      <c r="BK63" t="s">
        <v>84</v>
      </c>
      <c r="BL63" t="s">
        <v>84</v>
      </c>
      <c r="BM63" t="s">
        <v>85</v>
      </c>
      <c r="BN63" t="s">
        <v>85</v>
      </c>
      <c r="BO63">
        <f t="shared" si="12"/>
        <v>2</v>
      </c>
      <c r="BP63">
        <f t="shared" si="13"/>
        <v>28.571428571428569</v>
      </c>
      <c r="BQ63" t="str">
        <f t="shared" si="14"/>
        <v>Low</v>
      </c>
      <c r="BR63">
        <f t="shared" si="26"/>
        <v>41.935483870967744</v>
      </c>
      <c r="BS63">
        <f t="shared" si="27"/>
        <v>13</v>
      </c>
      <c r="BT63" t="str">
        <f t="shared" si="28"/>
        <v>Moderate</v>
      </c>
      <c r="BU63" t="s">
        <v>92</v>
      </c>
      <c r="BV63" s="13" t="s">
        <v>99</v>
      </c>
      <c r="BW63" s="9">
        <v>2023</v>
      </c>
      <c r="BX63" s="10" t="s">
        <v>88</v>
      </c>
      <c r="BZ63" t="s">
        <v>101</v>
      </c>
    </row>
    <row r="64" spans="1:78" x14ac:dyDescent="0.25">
      <c r="A64" t="s">
        <v>209</v>
      </c>
      <c r="B64">
        <v>42.1661111111111</v>
      </c>
      <c r="C64">
        <v>0.89527777777777695</v>
      </c>
      <c r="D64" s="8">
        <v>2050</v>
      </c>
      <c r="E64" s="8" t="str">
        <f t="shared" si="0"/>
        <v>Medium</v>
      </c>
      <c r="F64" t="s">
        <v>79</v>
      </c>
      <c r="G64" t="s">
        <v>90</v>
      </c>
      <c r="H64">
        <v>2018</v>
      </c>
      <c r="I64" t="s">
        <v>98</v>
      </c>
      <c r="J64" t="s">
        <v>91</v>
      </c>
      <c r="L64" t="s">
        <v>104</v>
      </c>
      <c r="M64" t="s">
        <v>85</v>
      </c>
      <c r="N64" t="s">
        <v>85</v>
      </c>
      <c r="O64" t="s">
        <v>85</v>
      </c>
      <c r="P64" t="s">
        <v>85</v>
      </c>
      <c r="Q64" t="s">
        <v>84</v>
      </c>
      <c r="R64" t="s">
        <v>85</v>
      </c>
      <c r="S64" s="8">
        <f t="shared" si="1"/>
        <v>1</v>
      </c>
      <c r="T64" s="8">
        <v>0</v>
      </c>
      <c r="U64" s="8">
        <f t="shared" si="2"/>
        <v>16.666666666666664</v>
      </c>
      <c r="V64" t="str">
        <f t="shared" si="3"/>
        <v>Low</v>
      </c>
      <c r="X64" t="s">
        <v>85</v>
      </c>
      <c r="Y64" t="s">
        <v>84</v>
      </c>
      <c r="Z64" t="s">
        <v>84</v>
      </c>
      <c r="AA64" t="s">
        <v>85</v>
      </c>
      <c r="AB64" t="s">
        <v>84</v>
      </c>
      <c r="AC64" t="s">
        <v>85</v>
      </c>
      <c r="AD64">
        <f t="shared" si="4"/>
        <v>3</v>
      </c>
      <c r="AE64">
        <f t="shared" si="5"/>
        <v>42.857142857142854</v>
      </c>
      <c r="AF64" t="str">
        <f t="shared" si="22"/>
        <v>Medium</v>
      </c>
      <c r="AG64" t="s">
        <v>84</v>
      </c>
      <c r="AH64" t="s">
        <v>85</v>
      </c>
      <c r="AI64" t="s">
        <v>84</v>
      </c>
      <c r="AJ64" t="s">
        <v>85</v>
      </c>
      <c r="AK64" t="s">
        <v>84</v>
      </c>
      <c r="AL64" t="s">
        <v>85</v>
      </c>
      <c r="AM64">
        <f t="shared" si="6"/>
        <v>3</v>
      </c>
      <c r="AN64">
        <f t="shared" si="7"/>
        <v>42.857142857142854</v>
      </c>
      <c r="AO64" t="str">
        <f t="shared" si="23"/>
        <v>Medium</v>
      </c>
      <c r="AP64" t="s">
        <v>85</v>
      </c>
      <c r="AQ64" t="s">
        <v>85</v>
      </c>
      <c r="AR64" t="s">
        <v>85</v>
      </c>
      <c r="AS64" t="s">
        <v>85</v>
      </c>
      <c r="AT64" t="s">
        <v>85</v>
      </c>
      <c r="AU64" t="s">
        <v>85</v>
      </c>
      <c r="AV64" t="s">
        <v>85</v>
      </c>
      <c r="AW64">
        <f t="shared" si="8"/>
        <v>0</v>
      </c>
      <c r="AX64">
        <f t="shared" si="9"/>
        <v>0</v>
      </c>
      <c r="AY64" t="str">
        <f t="shared" si="24"/>
        <v>Low</v>
      </c>
      <c r="AZ64" t="s">
        <v>84</v>
      </c>
      <c r="BA64" t="s">
        <v>84</v>
      </c>
      <c r="BB64" t="s">
        <v>85</v>
      </c>
      <c r="BC64" t="s">
        <v>85</v>
      </c>
      <c r="BD64" t="s">
        <v>85</v>
      </c>
      <c r="BE64" t="s">
        <v>85</v>
      </c>
      <c r="BF64" t="s">
        <v>85</v>
      </c>
      <c r="BG64" t="s">
        <v>85</v>
      </c>
      <c r="BH64">
        <f t="shared" si="10"/>
        <v>2</v>
      </c>
      <c r="BI64">
        <f t="shared" si="11"/>
        <v>28.571428571428569</v>
      </c>
      <c r="BJ64" t="str">
        <f t="shared" si="25"/>
        <v>Low</v>
      </c>
      <c r="BK64" t="s">
        <v>84</v>
      </c>
      <c r="BL64" t="s">
        <v>85</v>
      </c>
      <c r="BM64" t="s">
        <v>85</v>
      </c>
      <c r="BN64" t="s">
        <v>85</v>
      </c>
      <c r="BO64">
        <f t="shared" si="12"/>
        <v>1</v>
      </c>
      <c r="BP64">
        <f t="shared" si="13"/>
        <v>14.285714285714285</v>
      </c>
      <c r="BQ64" t="str">
        <f t="shared" si="14"/>
        <v>Low</v>
      </c>
      <c r="BR64">
        <f t="shared" si="26"/>
        <v>29.032258064516132</v>
      </c>
      <c r="BS64">
        <f t="shared" si="27"/>
        <v>9</v>
      </c>
      <c r="BT64" t="str">
        <f t="shared" si="28"/>
        <v>Low</v>
      </c>
      <c r="BU64" t="s">
        <v>92</v>
      </c>
      <c r="BV64" s="13" t="s">
        <v>114</v>
      </c>
      <c r="BW64" s="9">
        <v>2021</v>
      </c>
      <c r="BX64" s="10" t="s">
        <v>109</v>
      </c>
      <c r="BY64" s="8">
        <v>0.02</v>
      </c>
      <c r="BZ64" t="s">
        <v>94</v>
      </c>
    </row>
    <row r="65" spans="1:78" x14ac:dyDescent="0.25">
      <c r="A65" t="s">
        <v>210</v>
      </c>
      <c r="B65">
        <v>39.892777777777702</v>
      </c>
      <c r="C65">
        <v>92.996388888888802</v>
      </c>
      <c r="D65" s="8">
        <v>2067</v>
      </c>
      <c r="E65" s="8" t="str">
        <f t="shared" si="0"/>
        <v>Medium</v>
      </c>
      <c r="F65" t="s">
        <v>96</v>
      </c>
      <c r="G65" t="s">
        <v>97</v>
      </c>
      <c r="H65">
        <v>2015</v>
      </c>
      <c r="I65" t="s">
        <v>98</v>
      </c>
      <c r="J65" t="s">
        <v>82</v>
      </c>
      <c r="L65" t="s">
        <v>199</v>
      </c>
      <c r="M65" t="s">
        <v>84</v>
      </c>
      <c r="N65" t="s">
        <v>85</v>
      </c>
      <c r="O65" t="s">
        <v>85</v>
      </c>
      <c r="P65" t="s">
        <v>85</v>
      </c>
      <c r="Q65" t="s">
        <v>85</v>
      </c>
      <c r="R65" t="s">
        <v>85</v>
      </c>
      <c r="S65" s="8">
        <f t="shared" si="1"/>
        <v>1</v>
      </c>
      <c r="T65" s="8">
        <v>0</v>
      </c>
      <c r="U65" s="8">
        <f t="shared" si="2"/>
        <v>16.666666666666664</v>
      </c>
      <c r="V65" t="str">
        <f t="shared" si="3"/>
        <v>Low</v>
      </c>
      <c r="X65" t="s">
        <v>84</v>
      </c>
      <c r="Y65" t="s">
        <v>85</v>
      </c>
      <c r="Z65" t="s">
        <v>84</v>
      </c>
      <c r="AA65" t="s">
        <v>85</v>
      </c>
      <c r="AB65" t="s">
        <v>85</v>
      </c>
      <c r="AC65" t="s">
        <v>84</v>
      </c>
      <c r="AD65">
        <f t="shared" si="4"/>
        <v>3</v>
      </c>
      <c r="AE65">
        <f t="shared" si="5"/>
        <v>42.857142857142854</v>
      </c>
      <c r="AF65" t="str">
        <f t="shared" si="22"/>
        <v>Medium</v>
      </c>
      <c r="AG65" t="s">
        <v>84</v>
      </c>
      <c r="AH65" t="s">
        <v>85</v>
      </c>
      <c r="AI65" t="s">
        <v>85</v>
      </c>
      <c r="AJ65" t="s">
        <v>84</v>
      </c>
      <c r="AK65" t="s">
        <v>85</v>
      </c>
      <c r="AL65" t="s">
        <v>84</v>
      </c>
      <c r="AM65">
        <f t="shared" si="6"/>
        <v>3</v>
      </c>
      <c r="AN65">
        <f t="shared" si="7"/>
        <v>42.857142857142854</v>
      </c>
      <c r="AO65" t="str">
        <f t="shared" si="23"/>
        <v>Medium</v>
      </c>
      <c r="AP65" t="s">
        <v>84</v>
      </c>
      <c r="AQ65" t="s">
        <v>84</v>
      </c>
      <c r="AR65" t="s">
        <v>85</v>
      </c>
      <c r="AS65" t="s">
        <v>84</v>
      </c>
      <c r="AT65" t="s">
        <v>85</v>
      </c>
      <c r="AU65" t="s">
        <v>85</v>
      </c>
      <c r="AV65" t="s">
        <v>85</v>
      </c>
      <c r="AW65">
        <f t="shared" si="8"/>
        <v>3</v>
      </c>
      <c r="AX65">
        <f t="shared" si="9"/>
        <v>42.857142857142854</v>
      </c>
      <c r="AY65" t="str">
        <f t="shared" si="24"/>
        <v>Medium</v>
      </c>
      <c r="AZ65" t="s">
        <v>84</v>
      </c>
      <c r="BA65" t="s">
        <v>84</v>
      </c>
      <c r="BB65" t="s">
        <v>84</v>
      </c>
      <c r="BC65" t="s">
        <v>84</v>
      </c>
      <c r="BD65" t="s">
        <v>84</v>
      </c>
      <c r="BE65" t="s">
        <v>85</v>
      </c>
      <c r="BF65" t="s">
        <v>85</v>
      </c>
      <c r="BG65" t="s">
        <v>85</v>
      </c>
      <c r="BH65">
        <f t="shared" si="10"/>
        <v>5</v>
      </c>
      <c r="BI65">
        <f t="shared" si="11"/>
        <v>71.428571428571431</v>
      </c>
      <c r="BJ65" t="str">
        <f t="shared" si="25"/>
        <v>High</v>
      </c>
      <c r="BK65" t="s">
        <v>85</v>
      </c>
      <c r="BL65" t="s">
        <v>84</v>
      </c>
      <c r="BM65" t="s">
        <v>84</v>
      </c>
      <c r="BN65" t="s">
        <v>84</v>
      </c>
      <c r="BO65">
        <f t="shared" si="12"/>
        <v>3</v>
      </c>
      <c r="BP65">
        <f t="shared" si="13"/>
        <v>42.857142857142854</v>
      </c>
      <c r="BQ65" t="str">
        <f t="shared" si="14"/>
        <v>Medium</v>
      </c>
      <c r="BR65">
        <f t="shared" si="26"/>
        <v>54.838709677419352</v>
      </c>
      <c r="BS65">
        <f t="shared" si="27"/>
        <v>17</v>
      </c>
      <c r="BT65" t="str">
        <f t="shared" si="28"/>
        <v>Moderate</v>
      </c>
      <c r="BU65" t="s">
        <v>105</v>
      </c>
      <c r="BV65" s="13" t="s">
        <v>99</v>
      </c>
      <c r="BW65" s="9">
        <v>2023</v>
      </c>
      <c r="BX65" s="10" t="s">
        <v>88</v>
      </c>
      <c r="BZ65" t="s">
        <v>101</v>
      </c>
    </row>
    <row r="66" spans="1:78" x14ac:dyDescent="0.25">
      <c r="A66" t="s">
        <v>211</v>
      </c>
      <c r="B66">
        <v>58.135833333333302</v>
      </c>
      <c r="C66">
        <v>-5.2513888888888802</v>
      </c>
      <c r="D66" s="8">
        <v>2100</v>
      </c>
      <c r="E66" s="8" t="str">
        <f t="shared" ref="E66:E113" si="29">IF(D66&lt;1000,"Small",IF(D66&lt;=5000,"Medium",IF(D66&lt;=10000,"Large","Very Large")))</f>
        <v>Medium</v>
      </c>
      <c r="F66" t="s">
        <v>79</v>
      </c>
      <c r="G66" t="s">
        <v>153</v>
      </c>
      <c r="H66">
        <v>2004</v>
      </c>
      <c r="I66" t="s">
        <v>81</v>
      </c>
      <c r="J66" t="s">
        <v>82</v>
      </c>
      <c r="L66" t="s">
        <v>83</v>
      </c>
      <c r="M66" t="s">
        <v>85</v>
      </c>
      <c r="N66" t="s">
        <v>84</v>
      </c>
      <c r="O66" t="s">
        <v>84</v>
      </c>
      <c r="P66" t="s">
        <v>84</v>
      </c>
      <c r="Q66" t="s">
        <v>84</v>
      </c>
      <c r="R66" t="s">
        <v>85</v>
      </c>
      <c r="S66" s="8">
        <f t="shared" ref="S66:S113" si="30">COUNTIF(M66:R66, "Yes")</f>
        <v>4</v>
      </c>
      <c r="T66" s="8">
        <v>0</v>
      </c>
      <c r="U66" s="8">
        <f t="shared" ref="U66:U113" si="31">(COUNTIF(M66:R66, "Yes")/6)*100</f>
        <v>66.666666666666657</v>
      </c>
      <c r="V66" t="str">
        <f t="shared" ref="V66:V113" si="32">IF(U66 &lt;= 33.3, "Low", IF(U66 &lt;= 66.7, "Medium", "High"))</f>
        <v>Medium</v>
      </c>
      <c r="W66" t="s">
        <v>212</v>
      </c>
      <c r="X66" t="s">
        <v>84</v>
      </c>
      <c r="Y66" t="s">
        <v>84</v>
      </c>
      <c r="Z66" t="s">
        <v>84</v>
      </c>
      <c r="AA66" t="s">
        <v>84</v>
      </c>
      <c r="AB66" t="s">
        <v>84</v>
      </c>
      <c r="AC66" t="s">
        <v>85</v>
      </c>
      <c r="AD66">
        <f t="shared" ref="AD66:AD113" si="33">COUNTIF(X66:AC66, "Yes")</f>
        <v>5</v>
      </c>
      <c r="AE66">
        <f t="shared" ref="AE66:AE113" si="34">(COUNTIF(X66:AC66, "Yes")/7)*100</f>
        <v>71.428571428571431</v>
      </c>
      <c r="AF66" t="str">
        <f t="shared" si="22"/>
        <v>High</v>
      </c>
      <c r="AG66" t="s">
        <v>84</v>
      </c>
      <c r="AH66" t="s">
        <v>84</v>
      </c>
      <c r="AI66" t="s">
        <v>85</v>
      </c>
      <c r="AJ66" t="s">
        <v>84</v>
      </c>
      <c r="AK66" t="s">
        <v>84</v>
      </c>
      <c r="AL66" t="s">
        <v>84</v>
      </c>
      <c r="AM66">
        <f t="shared" ref="AM66:AM113" si="35">COUNTIF(AG66:AL66, "Yes")</f>
        <v>5</v>
      </c>
      <c r="AN66">
        <f t="shared" ref="AN66:AN113" si="36">(COUNTIF(AG66:AL66, "Yes")/7)*100</f>
        <v>71.428571428571431</v>
      </c>
      <c r="AO66" t="str">
        <f t="shared" si="23"/>
        <v>High</v>
      </c>
      <c r="AP66" t="s">
        <v>84</v>
      </c>
      <c r="AQ66" t="s">
        <v>84</v>
      </c>
      <c r="AR66" t="s">
        <v>84</v>
      </c>
      <c r="AS66" t="s">
        <v>84</v>
      </c>
      <c r="AT66" t="s">
        <v>84</v>
      </c>
      <c r="AU66" t="s">
        <v>84</v>
      </c>
      <c r="AV66" t="s">
        <v>84</v>
      </c>
      <c r="AW66">
        <f t="shared" ref="AW66:AW113" si="37">(COUNTIF(AO66:AU66,"Yes"))</f>
        <v>6</v>
      </c>
      <c r="AX66">
        <f t="shared" ref="AX66:AX113" si="38">(COUNTIF(AP66:AV66, "Yes")/7)*100</f>
        <v>100</v>
      </c>
      <c r="AY66" t="str">
        <f t="shared" si="24"/>
        <v>High</v>
      </c>
      <c r="AZ66" t="s">
        <v>84</v>
      </c>
      <c r="BA66" t="s">
        <v>84</v>
      </c>
      <c r="BB66" t="s">
        <v>84</v>
      </c>
      <c r="BC66" t="s">
        <v>84</v>
      </c>
      <c r="BD66" t="s">
        <v>84</v>
      </c>
      <c r="BE66" t="s">
        <v>84</v>
      </c>
      <c r="BF66" t="s">
        <v>85</v>
      </c>
      <c r="BG66" t="s">
        <v>85</v>
      </c>
      <c r="BH66">
        <f t="shared" ref="BH66:BH113" si="39">COUNTIF(AZ66:BG66, "Yes")</f>
        <v>6</v>
      </c>
      <c r="BI66">
        <f t="shared" ref="BI66:BI113" si="40">(COUNTIF(AZ66:BG66, "Yes")/7)*100</f>
        <v>85.714285714285708</v>
      </c>
      <c r="BJ66" t="str">
        <f t="shared" si="25"/>
        <v>High</v>
      </c>
      <c r="BK66" t="s">
        <v>84</v>
      </c>
      <c r="BL66" t="s">
        <v>84</v>
      </c>
      <c r="BM66" t="s">
        <v>84</v>
      </c>
      <c r="BN66" t="s">
        <v>84</v>
      </c>
      <c r="BO66">
        <f t="shared" ref="BO66:BO113" si="41">COUNTIF(BK66:BN66, "Yes")</f>
        <v>4</v>
      </c>
      <c r="BP66">
        <f t="shared" ref="BP66:BP113" si="42">(COUNTIF(BK66:BN66, "Yes")/7)*100</f>
        <v>57.142857142857139</v>
      </c>
      <c r="BQ66" t="str">
        <f t="shared" ref="BQ66:BQ113" si="43">IF(BP66 &lt;= 33, "Low", IF(BP66 &lt;= 66, "Medium", "High"))</f>
        <v>Medium</v>
      </c>
      <c r="BR66">
        <f t="shared" si="26"/>
        <v>87.096774193548384</v>
      </c>
      <c r="BS66">
        <f t="shared" si="27"/>
        <v>27</v>
      </c>
      <c r="BT66" t="str">
        <f t="shared" si="28"/>
        <v>High</v>
      </c>
      <c r="BU66" t="s">
        <v>105</v>
      </c>
      <c r="BV66" s="13" t="s">
        <v>99</v>
      </c>
      <c r="BW66" s="9">
        <v>2019</v>
      </c>
      <c r="BX66" s="10" t="s">
        <v>100</v>
      </c>
      <c r="BY66" s="8">
        <v>0.25</v>
      </c>
      <c r="BZ66" t="s">
        <v>94</v>
      </c>
    </row>
    <row r="67" spans="1:78" x14ac:dyDescent="0.25">
      <c r="A67" t="s">
        <v>213</v>
      </c>
      <c r="B67">
        <v>40.395472222222203</v>
      </c>
      <c r="C67">
        <v>-7.5388527777777696</v>
      </c>
      <c r="D67" s="8">
        <v>2216</v>
      </c>
      <c r="E67" s="8" t="str">
        <f t="shared" si="29"/>
        <v>Medium</v>
      </c>
      <c r="F67" t="s">
        <v>79</v>
      </c>
      <c r="G67" t="s">
        <v>144</v>
      </c>
      <c r="H67">
        <v>2020</v>
      </c>
      <c r="I67" t="s">
        <v>98</v>
      </c>
      <c r="J67" t="s">
        <v>91</v>
      </c>
      <c r="L67" t="s">
        <v>128</v>
      </c>
      <c r="M67" t="s">
        <v>84</v>
      </c>
      <c r="N67" t="s">
        <v>85</v>
      </c>
      <c r="O67" t="s">
        <v>85</v>
      </c>
      <c r="P67" t="s">
        <v>84</v>
      </c>
      <c r="Q67" t="s">
        <v>84</v>
      </c>
      <c r="R67" t="s">
        <v>85</v>
      </c>
      <c r="S67" s="8">
        <f t="shared" si="30"/>
        <v>3</v>
      </c>
      <c r="T67" s="8">
        <v>0</v>
      </c>
      <c r="U67" s="8">
        <f t="shared" si="31"/>
        <v>50</v>
      </c>
      <c r="V67" t="str">
        <f t="shared" si="32"/>
        <v>Medium</v>
      </c>
      <c r="X67" t="s">
        <v>84</v>
      </c>
      <c r="Y67" t="s">
        <v>84</v>
      </c>
      <c r="Z67" t="s">
        <v>84</v>
      </c>
      <c r="AA67" t="s">
        <v>85</v>
      </c>
      <c r="AB67" t="s">
        <v>84</v>
      </c>
      <c r="AC67" t="s">
        <v>84</v>
      </c>
      <c r="AD67">
        <f t="shared" si="33"/>
        <v>5</v>
      </c>
      <c r="AE67">
        <f t="shared" si="34"/>
        <v>71.428571428571431</v>
      </c>
      <c r="AF67" t="str">
        <f t="shared" si="22"/>
        <v>High</v>
      </c>
      <c r="AG67" t="s">
        <v>84</v>
      </c>
      <c r="AH67" t="s">
        <v>84</v>
      </c>
      <c r="AI67" t="s">
        <v>84</v>
      </c>
      <c r="AJ67" t="s">
        <v>84</v>
      </c>
      <c r="AK67" t="s">
        <v>84</v>
      </c>
      <c r="AL67" t="s">
        <v>84</v>
      </c>
      <c r="AM67">
        <f t="shared" si="35"/>
        <v>6</v>
      </c>
      <c r="AN67">
        <f t="shared" si="36"/>
        <v>85.714285714285708</v>
      </c>
      <c r="AO67" t="str">
        <f t="shared" si="23"/>
        <v>High</v>
      </c>
      <c r="AP67" t="s">
        <v>84</v>
      </c>
      <c r="AQ67" t="s">
        <v>84</v>
      </c>
      <c r="AR67" t="s">
        <v>84</v>
      </c>
      <c r="AS67" t="s">
        <v>84</v>
      </c>
      <c r="AT67" t="s">
        <v>84</v>
      </c>
      <c r="AU67" t="s">
        <v>85</v>
      </c>
      <c r="AV67" t="s">
        <v>84</v>
      </c>
      <c r="AW67">
        <f t="shared" si="37"/>
        <v>5</v>
      </c>
      <c r="AX67">
        <f t="shared" si="38"/>
        <v>85.714285714285708</v>
      </c>
      <c r="AY67" t="str">
        <f t="shared" si="24"/>
        <v>High</v>
      </c>
      <c r="AZ67" t="s">
        <v>84</v>
      </c>
      <c r="BA67" t="s">
        <v>85</v>
      </c>
      <c r="BB67" t="s">
        <v>84</v>
      </c>
      <c r="BC67" t="s">
        <v>84</v>
      </c>
      <c r="BD67" t="s">
        <v>84</v>
      </c>
      <c r="BE67" t="s">
        <v>85</v>
      </c>
      <c r="BF67" t="s">
        <v>84</v>
      </c>
      <c r="BG67" t="s">
        <v>85</v>
      </c>
      <c r="BH67">
        <f t="shared" si="39"/>
        <v>5</v>
      </c>
      <c r="BI67">
        <f t="shared" si="40"/>
        <v>71.428571428571431</v>
      </c>
      <c r="BJ67" t="str">
        <f t="shared" si="25"/>
        <v>High</v>
      </c>
      <c r="BK67" t="s">
        <v>84</v>
      </c>
      <c r="BL67" t="s">
        <v>84</v>
      </c>
      <c r="BM67" t="s">
        <v>84</v>
      </c>
      <c r="BN67" t="s">
        <v>84</v>
      </c>
      <c r="BO67">
        <f t="shared" si="41"/>
        <v>4</v>
      </c>
      <c r="BP67">
        <f t="shared" si="42"/>
        <v>57.142857142857139</v>
      </c>
      <c r="BQ67" t="str">
        <f t="shared" si="43"/>
        <v>Medium</v>
      </c>
      <c r="BR67">
        <f t="shared" si="26"/>
        <v>83.870967741935488</v>
      </c>
      <c r="BS67">
        <f t="shared" si="27"/>
        <v>26</v>
      </c>
      <c r="BT67" t="str">
        <f t="shared" si="28"/>
        <v>High</v>
      </c>
      <c r="BU67" t="s">
        <v>92</v>
      </c>
      <c r="BV67" s="13" t="s">
        <v>99</v>
      </c>
      <c r="BW67" s="9">
        <v>2023</v>
      </c>
      <c r="BX67" s="10" t="s">
        <v>88</v>
      </c>
      <c r="BZ67" t="s">
        <v>101</v>
      </c>
    </row>
    <row r="68" spans="1:78" x14ac:dyDescent="0.25">
      <c r="A68" t="s">
        <v>214</v>
      </c>
      <c r="B68">
        <v>44.634999999999998</v>
      </c>
      <c r="C68">
        <v>4.2594444444444397</v>
      </c>
      <c r="D68" s="8">
        <v>2280</v>
      </c>
      <c r="E68" s="8" t="str">
        <f t="shared" si="29"/>
        <v>Medium</v>
      </c>
      <c r="F68" t="s">
        <v>79</v>
      </c>
      <c r="G68" t="s">
        <v>192</v>
      </c>
      <c r="H68">
        <v>2014</v>
      </c>
      <c r="I68" t="s">
        <v>103</v>
      </c>
      <c r="J68" t="s">
        <v>82</v>
      </c>
      <c r="L68" t="s">
        <v>104</v>
      </c>
      <c r="M68" t="s">
        <v>85</v>
      </c>
      <c r="N68" t="s">
        <v>85</v>
      </c>
      <c r="O68" t="s">
        <v>85</v>
      </c>
      <c r="P68" t="s">
        <v>84</v>
      </c>
      <c r="Q68" t="s">
        <v>84</v>
      </c>
      <c r="R68" t="s">
        <v>84</v>
      </c>
      <c r="S68" s="8">
        <f t="shared" si="30"/>
        <v>3</v>
      </c>
      <c r="T68" s="8">
        <v>0</v>
      </c>
      <c r="U68" s="8">
        <f t="shared" si="31"/>
        <v>50</v>
      </c>
      <c r="V68" t="str">
        <f t="shared" si="32"/>
        <v>Medium</v>
      </c>
      <c r="X68" t="s">
        <v>85</v>
      </c>
      <c r="Y68" t="s">
        <v>85</v>
      </c>
      <c r="Z68" t="s">
        <v>84</v>
      </c>
      <c r="AA68" t="s">
        <v>85</v>
      </c>
      <c r="AB68" t="s">
        <v>84</v>
      </c>
      <c r="AC68" t="s">
        <v>84</v>
      </c>
      <c r="AD68">
        <f t="shared" si="33"/>
        <v>3</v>
      </c>
      <c r="AE68">
        <f t="shared" si="34"/>
        <v>42.857142857142854</v>
      </c>
      <c r="AF68" t="str">
        <f t="shared" si="22"/>
        <v>Medium</v>
      </c>
      <c r="AG68" t="s">
        <v>85</v>
      </c>
      <c r="AH68" t="s">
        <v>85</v>
      </c>
      <c r="AI68" t="s">
        <v>85</v>
      </c>
      <c r="AJ68" t="s">
        <v>84</v>
      </c>
      <c r="AK68" t="s">
        <v>84</v>
      </c>
      <c r="AL68" t="s">
        <v>84</v>
      </c>
      <c r="AM68">
        <f t="shared" si="35"/>
        <v>3</v>
      </c>
      <c r="AN68">
        <f t="shared" si="36"/>
        <v>42.857142857142854</v>
      </c>
      <c r="AO68" t="str">
        <f t="shared" si="23"/>
        <v>Medium</v>
      </c>
      <c r="AP68" t="s">
        <v>84</v>
      </c>
      <c r="AQ68" t="s">
        <v>85</v>
      </c>
      <c r="AR68" t="s">
        <v>85</v>
      </c>
      <c r="AS68" t="s">
        <v>85</v>
      </c>
      <c r="AT68" t="s">
        <v>85</v>
      </c>
      <c r="AU68" t="s">
        <v>85</v>
      </c>
      <c r="AV68" t="s">
        <v>85</v>
      </c>
      <c r="AW68">
        <f t="shared" si="37"/>
        <v>1</v>
      </c>
      <c r="AX68">
        <f t="shared" si="38"/>
        <v>14.285714285714285</v>
      </c>
      <c r="AY68" t="str">
        <f t="shared" si="24"/>
        <v>Low</v>
      </c>
      <c r="AZ68" t="s">
        <v>84</v>
      </c>
      <c r="BA68" t="s">
        <v>85</v>
      </c>
      <c r="BB68" t="s">
        <v>84</v>
      </c>
      <c r="BC68" t="s">
        <v>84</v>
      </c>
      <c r="BD68" t="s">
        <v>84</v>
      </c>
      <c r="BE68" t="s">
        <v>85</v>
      </c>
      <c r="BF68" t="s">
        <v>85</v>
      </c>
      <c r="BG68" t="s">
        <v>84</v>
      </c>
      <c r="BH68">
        <f t="shared" si="39"/>
        <v>5</v>
      </c>
      <c r="BI68">
        <f t="shared" si="40"/>
        <v>71.428571428571431</v>
      </c>
      <c r="BJ68" t="str">
        <f t="shared" si="25"/>
        <v>High</v>
      </c>
      <c r="BK68" t="s">
        <v>84</v>
      </c>
      <c r="BL68" t="s">
        <v>84</v>
      </c>
      <c r="BM68" t="s">
        <v>84</v>
      </c>
      <c r="BN68" t="s">
        <v>84</v>
      </c>
      <c r="BO68">
        <f t="shared" si="41"/>
        <v>4</v>
      </c>
      <c r="BP68">
        <f t="shared" si="42"/>
        <v>57.142857142857139</v>
      </c>
      <c r="BQ68" t="str">
        <f t="shared" si="43"/>
        <v>Medium</v>
      </c>
      <c r="BR68">
        <f t="shared" si="26"/>
        <v>51.612903225806448</v>
      </c>
      <c r="BS68">
        <f t="shared" si="27"/>
        <v>16</v>
      </c>
      <c r="BT68" t="str">
        <f t="shared" si="28"/>
        <v>Moderate</v>
      </c>
      <c r="BU68" t="s">
        <v>92</v>
      </c>
      <c r="BV68" s="13" t="s">
        <v>93</v>
      </c>
      <c r="BW68" s="9">
        <v>2018</v>
      </c>
      <c r="BX68" s="10" t="s">
        <v>100</v>
      </c>
      <c r="BY68" s="8">
        <v>0.05</v>
      </c>
      <c r="BZ68" t="s">
        <v>94</v>
      </c>
    </row>
    <row r="69" spans="1:78" x14ac:dyDescent="0.25">
      <c r="A69" t="s">
        <v>215</v>
      </c>
      <c r="B69">
        <v>38.609444444444399</v>
      </c>
      <c r="C69">
        <v>28.475277777777698</v>
      </c>
      <c r="D69" s="8">
        <v>2320</v>
      </c>
      <c r="E69" s="8" t="str">
        <f t="shared" si="29"/>
        <v>Medium</v>
      </c>
      <c r="F69" t="s">
        <v>79</v>
      </c>
      <c r="G69" t="s">
        <v>216</v>
      </c>
      <c r="H69">
        <v>2013</v>
      </c>
      <c r="I69" t="s">
        <v>103</v>
      </c>
      <c r="J69" t="s">
        <v>82</v>
      </c>
      <c r="L69" t="s">
        <v>104</v>
      </c>
      <c r="M69" t="s">
        <v>84</v>
      </c>
      <c r="N69" t="s">
        <v>85</v>
      </c>
      <c r="O69" t="s">
        <v>85</v>
      </c>
      <c r="P69" t="s">
        <v>84</v>
      </c>
      <c r="Q69" t="s">
        <v>84</v>
      </c>
      <c r="R69" t="s">
        <v>85</v>
      </c>
      <c r="S69" s="8">
        <f t="shared" si="30"/>
        <v>3</v>
      </c>
      <c r="T69" s="8">
        <v>0</v>
      </c>
      <c r="U69" s="8">
        <f t="shared" si="31"/>
        <v>50</v>
      </c>
      <c r="V69" t="str">
        <f t="shared" si="32"/>
        <v>Medium</v>
      </c>
      <c r="X69" t="s">
        <v>84</v>
      </c>
      <c r="Y69" t="s">
        <v>84</v>
      </c>
      <c r="Z69" t="s">
        <v>84</v>
      </c>
      <c r="AA69" t="s">
        <v>84</v>
      </c>
      <c r="AB69" t="s">
        <v>85</v>
      </c>
      <c r="AC69" t="s">
        <v>85</v>
      </c>
      <c r="AD69">
        <f t="shared" si="33"/>
        <v>4</v>
      </c>
      <c r="AE69">
        <f t="shared" si="34"/>
        <v>57.142857142857139</v>
      </c>
      <c r="AF69" t="str">
        <f t="shared" si="22"/>
        <v>Medium</v>
      </c>
      <c r="AG69" t="s">
        <v>84</v>
      </c>
      <c r="AH69" t="s">
        <v>84</v>
      </c>
      <c r="AI69" t="s">
        <v>84</v>
      </c>
      <c r="AJ69" t="s">
        <v>84</v>
      </c>
      <c r="AK69" t="s">
        <v>84</v>
      </c>
      <c r="AL69" t="s">
        <v>84</v>
      </c>
      <c r="AM69">
        <f t="shared" si="35"/>
        <v>6</v>
      </c>
      <c r="AN69">
        <f t="shared" si="36"/>
        <v>85.714285714285708</v>
      </c>
      <c r="AO69" t="str">
        <f t="shared" si="23"/>
        <v>High</v>
      </c>
      <c r="AP69" t="s">
        <v>84</v>
      </c>
      <c r="AQ69" t="s">
        <v>84</v>
      </c>
      <c r="AR69" t="s">
        <v>84</v>
      </c>
      <c r="AS69" t="s">
        <v>84</v>
      </c>
      <c r="AT69" t="s">
        <v>84</v>
      </c>
      <c r="AU69" t="s">
        <v>84</v>
      </c>
      <c r="AV69" t="s">
        <v>84</v>
      </c>
      <c r="AW69">
        <f t="shared" si="37"/>
        <v>6</v>
      </c>
      <c r="AX69">
        <f t="shared" si="38"/>
        <v>100</v>
      </c>
      <c r="AY69" t="str">
        <f t="shared" si="24"/>
        <v>High</v>
      </c>
      <c r="AZ69" t="s">
        <v>84</v>
      </c>
      <c r="BA69" t="s">
        <v>85</v>
      </c>
      <c r="BB69" t="s">
        <v>84</v>
      </c>
      <c r="BC69" t="s">
        <v>84</v>
      </c>
      <c r="BD69" t="s">
        <v>84</v>
      </c>
      <c r="BE69" t="s">
        <v>84</v>
      </c>
      <c r="BF69" t="s">
        <v>84</v>
      </c>
      <c r="BG69" t="s">
        <v>84</v>
      </c>
      <c r="BH69">
        <f t="shared" si="39"/>
        <v>7</v>
      </c>
      <c r="BI69">
        <f t="shared" si="40"/>
        <v>100</v>
      </c>
      <c r="BJ69" t="str">
        <f t="shared" si="25"/>
        <v>High</v>
      </c>
      <c r="BK69" t="s">
        <v>85</v>
      </c>
      <c r="BL69" t="s">
        <v>85</v>
      </c>
      <c r="BM69" t="s">
        <v>84</v>
      </c>
      <c r="BN69" t="s">
        <v>84</v>
      </c>
      <c r="BO69">
        <f t="shared" si="41"/>
        <v>2</v>
      </c>
      <c r="BP69">
        <f t="shared" si="42"/>
        <v>28.571428571428569</v>
      </c>
      <c r="BQ69" t="str">
        <f t="shared" si="43"/>
        <v>Low</v>
      </c>
      <c r="BR69">
        <f t="shared" si="26"/>
        <v>83.870967741935488</v>
      </c>
      <c r="BS69">
        <f t="shared" si="27"/>
        <v>26</v>
      </c>
      <c r="BT69" t="str">
        <f t="shared" si="28"/>
        <v>High</v>
      </c>
      <c r="BU69" t="s">
        <v>92</v>
      </c>
      <c r="BV69" s="13" t="s">
        <v>99</v>
      </c>
      <c r="BW69" s="9">
        <v>2023</v>
      </c>
      <c r="BX69" s="10" t="s">
        <v>88</v>
      </c>
      <c r="BY69" s="8">
        <v>0.05</v>
      </c>
      <c r="BZ69" t="s">
        <v>94</v>
      </c>
    </row>
    <row r="70" spans="1:78" x14ac:dyDescent="0.25">
      <c r="A70" t="s">
        <v>217</v>
      </c>
      <c r="B70">
        <v>23.192222222222199</v>
      </c>
      <c r="C70">
        <v>105.196944444444</v>
      </c>
      <c r="D70" s="8">
        <v>2356</v>
      </c>
      <c r="E70" s="8" t="str">
        <f t="shared" si="29"/>
        <v>Medium</v>
      </c>
      <c r="F70" t="s">
        <v>96</v>
      </c>
      <c r="G70" t="s">
        <v>218</v>
      </c>
      <c r="H70">
        <v>2010</v>
      </c>
      <c r="I70" t="s">
        <v>81</v>
      </c>
      <c r="J70" t="s">
        <v>91</v>
      </c>
      <c r="L70" t="s">
        <v>83</v>
      </c>
      <c r="M70" t="s">
        <v>84</v>
      </c>
      <c r="N70" t="s">
        <v>85</v>
      </c>
      <c r="O70" t="s">
        <v>85</v>
      </c>
      <c r="P70" t="s">
        <v>84</v>
      </c>
      <c r="Q70" t="s">
        <v>84</v>
      </c>
      <c r="R70" t="s">
        <v>84</v>
      </c>
      <c r="S70" s="8">
        <f t="shared" si="30"/>
        <v>4</v>
      </c>
      <c r="T70" s="8">
        <v>0</v>
      </c>
      <c r="U70" s="8">
        <f t="shared" si="31"/>
        <v>66.666666666666657</v>
      </c>
      <c r="V70" t="str">
        <f t="shared" si="32"/>
        <v>Medium</v>
      </c>
      <c r="X70" t="s">
        <v>84</v>
      </c>
      <c r="Y70" t="s">
        <v>84</v>
      </c>
      <c r="Z70" t="s">
        <v>84</v>
      </c>
      <c r="AA70" t="s">
        <v>84</v>
      </c>
      <c r="AB70" t="s">
        <v>85</v>
      </c>
      <c r="AC70" t="s">
        <v>85</v>
      </c>
      <c r="AD70">
        <f t="shared" si="33"/>
        <v>4</v>
      </c>
      <c r="AE70">
        <f t="shared" si="34"/>
        <v>57.142857142857139</v>
      </c>
      <c r="AF70" t="str">
        <f t="shared" si="22"/>
        <v>Medium</v>
      </c>
      <c r="AG70" t="s">
        <v>84</v>
      </c>
      <c r="AH70" t="s">
        <v>84</v>
      </c>
      <c r="AI70" t="s">
        <v>85</v>
      </c>
      <c r="AJ70" t="s">
        <v>84</v>
      </c>
      <c r="AK70" t="s">
        <v>85</v>
      </c>
      <c r="AL70" t="s">
        <v>84</v>
      </c>
      <c r="AM70">
        <f t="shared" si="35"/>
        <v>4</v>
      </c>
      <c r="AN70">
        <f t="shared" si="36"/>
        <v>57.142857142857139</v>
      </c>
      <c r="AO70" t="str">
        <f t="shared" si="23"/>
        <v>Medium</v>
      </c>
      <c r="AP70" t="s">
        <v>84</v>
      </c>
      <c r="AQ70" t="s">
        <v>84</v>
      </c>
      <c r="AR70" t="s">
        <v>84</v>
      </c>
      <c r="AS70" t="s">
        <v>84</v>
      </c>
      <c r="AT70" t="s">
        <v>85</v>
      </c>
      <c r="AU70" t="s">
        <v>84</v>
      </c>
      <c r="AV70" t="s">
        <v>84</v>
      </c>
      <c r="AW70">
        <f t="shared" si="37"/>
        <v>5</v>
      </c>
      <c r="AX70">
        <f t="shared" si="38"/>
        <v>85.714285714285708</v>
      </c>
      <c r="AY70" t="str">
        <f t="shared" si="24"/>
        <v>High</v>
      </c>
      <c r="AZ70" t="s">
        <v>84</v>
      </c>
      <c r="BA70" t="s">
        <v>85</v>
      </c>
      <c r="BB70" t="s">
        <v>84</v>
      </c>
      <c r="BC70" t="s">
        <v>84</v>
      </c>
      <c r="BD70" t="s">
        <v>84</v>
      </c>
      <c r="BE70" t="s">
        <v>85</v>
      </c>
      <c r="BF70" t="s">
        <v>84</v>
      </c>
      <c r="BG70" t="s">
        <v>85</v>
      </c>
      <c r="BH70">
        <f t="shared" si="39"/>
        <v>5</v>
      </c>
      <c r="BI70">
        <f t="shared" si="40"/>
        <v>71.428571428571431</v>
      </c>
      <c r="BJ70" t="str">
        <f t="shared" si="25"/>
        <v>High</v>
      </c>
      <c r="BK70" t="s">
        <v>84</v>
      </c>
      <c r="BL70" t="s">
        <v>84</v>
      </c>
      <c r="BM70" t="s">
        <v>84</v>
      </c>
      <c r="BN70" t="s">
        <v>84</v>
      </c>
      <c r="BO70">
        <f t="shared" si="41"/>
        <v>4</v>
      </c>
      <c r="BP70">
        <f t="shared" si="42"/>
        <v>57.142857142857139</v>
      </c>
      <c r="BQ70" t="str">
        <f t="shared" si="43"/>
        <v>Medium</v>
      </c>
      <c r="BR70">
        <f t="shared" si="26"/>
        <v>74.193548387096769</v>
      </c>
      <c r="BS70">
        <f t="shared" si="27"/>
        <v>23</v>
      </c>
      <c r="BT70" t="str">
        <f t="shared" si="28"/>
        <v>High</v>
      </c>
      <c r="BU70" t="s">
        <v>92</v>
      </c>
      <c r="BV70" s="13" t="s">
        <v>93</v>
      </c>
      <c r="BW70" s="9">
        <v>2018</v>
      </c>
      <c r="BX70" s="10" t="s">
        <v>100</v>
      </c>
      <c r="BY70" s="8">
        <v>0.25</v>
      </c>
      <c r="BZ70" t="s">
        <v>94</v>
      </c>
    </row>
    <row r="71" spans="1:78" x14ac:dyDescent="0.25">
      <c r="A71" t="s">
        <v>219</v>
      </c>
      <c r="B71">
        <v>35.642499999999998</v>
      </c>
      <c r="C71">
        <v>134.680555555555</v>
      </c>
      <c r="D71" s="8">
        <v>2458</v>
      </c>
      <c r="E71" s="8" t="str">
        <f t="shared" si="29"/>
        <v>Medium</v>
      </c>
      <c r="F71" t="s">
        <v>96</v>
      </c>
      <c r="G71" t="s">
        <v>149</v>
      </c>
      <c r="H71">
        <v>2010</v>
      </c>
      <c r="I71" t="s">
        <v>81</v>
      </c>
      <c r="J71" t="s">
        <v>91</v>
      </c>
      <c r="L71" t="s">
        <v>83</v>
      </c>
      <c r="M71" t="s">
        <v>85</v>
      </c>
      <c r="N71" t="s">
        <v>85</v>
      </c>
      <c r="O71" t="s">
        <v>85</v>
      </c>
      <c r="P71" t="s">
        <v>84</v>
      </c>
      <c r="Q71" t="s">
        <v>85</v>
      </c>
      <c r="R71" t="s">
        <v>85</v>
      </c>
      <c r="S71" s="8">
        <f t="shared" si="30"/>
        <v>1</v>
      </c>
      <c r="T71" s="8">
        <v>0</v>
      </c>
      <c r="U71" s="8">
        <f t="shared" si="31"/>
        <v>16.666666666666664</v>
      </c>
      <c r="V71" t="str">
        <f t="shared" si="32"/>
        <v>Low</v>
      </c>
      <c r="X71" t="s">
        <v>84</v>
      </c>
      <c r="Y71" t="s">
        <v>85</v>
      </c>
      <c r="Z71" t="s">
        <v>85</v>
      </c>
      <c r="AA71" t="s">
        <v>85</v>
      </c>
      <c r="AB71" t="s">
        <v>85</v>
      </c>
      <c r="AC71" t="s">
        <v>85</v>
      </c>
      <c r="AD71">
        <f t="shared" si="33"/>
        <v>1</v>
      </c>
      <c r="AE71">
        <f t="shared" si="34"/>
        <v>14.285714285714285</v>
      </c>
      <c r="AF71" t="str">
        <f t="shared" si="22"/>
        <v>Low</v>
      </c>
      <c r="AG71" t="s">
        <v>84</v>
      </c>
      <c r="AH71" t="s">
        <v>85</v>
      </c>
      <c r="AI71" t="s">
        <v>85</v>
      </c>
      <c r="AJ71" t="s">
        <v>85</v>
      </c>
      <c r="AK71" t="s">
        <v>85</v>
      </c>
      <c r="AL71" t="s">
        <v>85</v>
      </c>
      <c r="AM71">
        <f t="shared" si="35"/>
        <v>1</v>
      </c>
      <c r="AN71">
        <f t="shared" si="36"/>
        <v>14.285714285714285</v>
      </c>
      <c r="AO71" t="str">
        <f t="shared" si="23"/>
        <v>Low</v>
      </c>
      <c r="AP71" t="s">
        <v>85</v>
      </c>
      <c r="AQ71" t="s">
        <v>85</v>
      </c>
      <c r="AR71" t="s">
        <v>84</v>
      </c>
      <c r="AS71" t="s">
        <v>85</v>
      </c>
      <c r="AT71" t="s">
        <v>85</v>
      </c>
      <c r="AU71" t="s">
        <v>85</v>
      </c>
      <c r="AV71" t="s">
        <v>85</v>
      </c>
      <c r="AW71">
        <f t="shared" si="37"/>
        <v>1</v>
      </c>
      <c r="AX71">
        <f t="shared" si="38"/>
        <v>14.285714285714285</v>
      </c>
      <c r="AY71" t="str">
        <f t="shared" si="24"/>
        <v>Low</v>
      </c>
      <c r="AZ71" t="s">
        <v>84</v>
      </c>
      <c r="BA71" t="s">
        <v>85</v>
      </c>
      <c r="BB71" t="s">
        <v>85</v>
      </c>
      <c r="BC71" t="s">
        <v>85</v>
      </c>
      <c r="BD71" t="s">
        <v>85</v>
      </c>
      <c r="BE71" t="s">
        <v>85</v>
      </c>
      <c r="BF71" t="s">
        <v>85</v>
      </c>
      <c r="BG71" t="s">
        <v>85</v>
      </c>
      <c r="BH71">
        <f t="shared" si="39"/>
        <v>1</v>
      </c>
      <c r="BI71">
        <f t="shared" si="40"/>
        <v>14.285714285714285</v>
      </c>
      <c r="BJ71" t="str">
        <f t="shared" si="25"/>
        <v>Low</v>
      </c>
      <c r="BK71" t="s">
        <v>84</v>
      </c>
      <c r="BL71" t="s">
        <v>85</v>
      </c>
      <c r="BM71" t="s">
        <v>85</v>
      </c>
      <c r="BN71" t="s">
        <v>85</v>
      </c>
      <c r="BO71">
        <f t="shared" si="41"/>
        <v>1</v>
      </c>
      <c r="BP71">
        <f t="shared" si="42"/>
        <v>14.285714285714285</v>
      </c>
      <c r="BQ71" t="str">
        <f t="shared" si="43"/>
        <v>Low</v>
      </c>
      <c r="BR71">
        <f t="shared" si="26"/>
        <v>16.129032258064516</v>
      </c>
      <c r="BS71">
        <f t="shared" si="27"/>
        <v>5</v>
      </c>
      <c r="BT71" t="str">
        <f t="shared" si="28"/>
        <v>Low</v>
      </c>
      <c r="BU71" t="s">
        <v>92</v>
      </c>
      <c r="BV71" s="13" t="s">
        <v>88</v>
      </c>
      <c r="BW71" s="9">
        <v>2022</v>
      </c>
      <c r="BX71" s="10" t="s">
        <v>88</v>
      </c>
      <c r="BY71" s="14">
        <v>0.1</v>
      </c>
      <c r="BZ71" t="s">
        <v>94</v>
      </c>
    </row>
    <row r="72" spans="1:78" x14ac:dyDescent="0.25">
      <c r="A72" t="s">
        <v>220</v>
      </c>
      <c r="B72">
        <v>29.05</v>
      </c>
      <c r="C72">
        <v>-13.5833333333333</v>
      </c>
      <c r="D72" s="8">
        <v>2500</v>
      </c>
      <c r="E72" s="8" t="str">
        <f t="shared" si="29"/>
        <v>Medium</v>
      </c>
      <c r="F72" t="s">
        <v>79</v>
      </c>
      <c r="G72" t="s">
        <v>90</v>
      </c>
      <c r="H72">
        <v>2015</v>
      </c>
      <c r="I72" t="s">
        <v>98</v>
      </c>
      <c r="J72" t="s">
        <v>91</v>
      </c>
      <c r="L72" t="s">
        <v>83</v>
      </c>
      <c r="M72" t="s">
        <v>85</v>
      </c>
      <c r="N72" t="s">
        <v>85</v>
      </c>
      <c r="O72" t="s">
        <v>85</v>
      </c>
      <c r="P72" t="s">
        <v>84</v>
      </c>
      <c r="Q72" t="s">
        <v>84</v>
      </c>
      <c r="R72" t="s">
        <v>85</v>
      </c>
      <c r="S72" s="8">
        <f t="shared" si="30"/>
        <v>2</v>
      </c>
      <c r="T72" s="8">
        <v>0</v>
      </c>
      <c r="U72" s="8">
        <f t="shared" si="31"/>
        <v>33.333333333333329</v>
      </c>
      <c r="V72" t="str">
        <f t="shared" si="32"/>
        <v>Medium</v>
      </c>
      <c r="X72" t="s">
        <v>84</v>
      </c>
      <c r="Y72" t="s">
        <v>85</v>
      </c>
      <c r="Z72" t="s">
        <v>84</v>
      </c>
      <c r="AA72" t="s">
        <v>84</v>
      </c>
      <c r="AB72" t="s">
        <v>85</v>
      </c>
      <c r="AC72" t="s">
        <v>85</v>
      </c>
      <c r="AD72">
        <f t="shared" si="33"/>
        <v>3</v>
      </c>
      <c r="AE72">
        <f t="shared" si="34"/>
        <v>42.857142857142854</v>
      </c>
      <c r="AF72" t="str">
        <f t="shared" si="22"/>
        <v>Medium</v>
      </c>
      <c r="AG72" t="s">
        <v>84</v>
      </c>
      <c r="AH72" t="s">
        <v>85</v>
      </c>
      <c r="AI72" t="s">
        <v>85</v>
      </c>
      <c r="AJ72" t="s">
        <v>84</v>
      </c>
      <c r="AK72" t="s">
        <v>84</v>
      </c>
      <c r="AL72" t="s">
        <v>84</v>
      </c>
      <c r="AM72">
        <f t="shared" si="35"/>
        <v>4</v>
      </c>
      <c r="AN72">
        <f t="shared" si="36"/>
        <v>57.142857142857139</v>
      </c>
      <c r="AO72" t="str">
        <f t="shared" si="23"/>
        <v>Medium</v>
      </c>
      <c r="AP72" t="s">
        <v>85</v>
      </c>
      <c r="AQ72" t="s">
        <v>84</v>
      </c>
      <c r="AR72" t="s">
        <v>84</v>
      </c>
      <c r="AS72" t="s">
        <v>85</v>
      </c>
      <c r="AT72" t="s">
        <v>85</v>
      </c>
      <c r="AU72" t="s">
        <v>84</v>
      </c>
      <c r="AV72" t="s">
        <v>85</v>
      </c>
      <c r="AW72">
        <f t="shared" si="37"/>
        <v>3</v>
      </c>
      <c r="AX72">
        <f t="shared" si="38"/>
        <v>42.857142857142854</v>
      </c>
      <c r="AY72" t="str">
        <f t="shared" si="24"/>
        <v>Medium</v>
      </c>
      <c r="AZ72" t="s">
        <v>84</v>
      </c>
      <c r="BA72" t="s">
        <v>84</v>
      </c>
      <c r="BB72" t="s">
        <v>85</v>
      </c>
      <c r="BC72" t="s">
        <v>84</v>
      </c>
      <c r="BD72" t="s">
        <v>84</v>
      </c>
      <c r="BE72" t="s">
        <v>85</v>
      </c>
      <c r="BF72" t="s">
        <v>84</v>
      </c>
      <c r="BG72" t="s">
        <v>85</v>
      </c>
      <c r="BH72">
        <f t="shared" si="39"/>
        <v>5</v>
      </c>
      <c r="BI72">
        <f t="shared" si="40"/>
        <v>71.428571428571431</v>
      </c>
      <c r="BJ72" t="str">
        <f t="shared" si="25"/>
        <v>High</v>
      </c>
      <c r="BK72" t="s">
        <v>85</v>
      </c>
      <c r="BL72" t="s">
        <v>85</v>
      </c>
      <c r="BM72" t="s">
        <v>85</v>
      </c>
      <c r="BN72" t="s">
        <v>84</v>
      </c>
      <c r="BO72">
        <f t="shared" si="41"/>
        <v>1</v>
      </c>
      <c r="BP72">
        <f t="shared" si="42"/>
        <v>14.285714285714285</v>
      </c>
      <c r="BQ72" t="str">
        <f t="shared" si="43"/>
        <v>Low</v>
      </c>
      <c r="BR72">
        <f t="shared" si="26"/>
        <v>51.612903225806448</v>
      </c>
      <c r="BS72">
        <f t="shared" si="27"/>
        <v>16</v>
      </c>
      <c r="BT72" t="str">
        <f t="shared" si="28"/>
        <v>Moderate</v>
      </c>
      <c r="BU72" t="s">
        <v>105</v>
      </c>
      <c r="BV72" s="13" t="s">
        <v>99</v>
      </c>
      <c r="BW72" s="9">
        <v>2023</v>
      </c>
      <c r="BX72" s="10" t="s">
        <v>88</v>
      </c>
      <c r="BY72" s="8">
        <v>0.25</v>
      </c>
      <c r="BZ72" t="s">
        <v>94</v>
      </c>
    </row>
    <row r="73" spans="1:78" x14ac:dyDescent="0.25">
      <c r="A73" t="s">
        <v>221</v>
      </c>
      <c r="B73">
        <v>45.579444444444398</v>
      </c>
      <c r="C73">
        <v>-65.544444444444395</v>
      </c>
      <c r="D73" s="8">
        <v>2500</v>
      </c>
      <c r="E73" s="8" t="str">
        <f t="shared" si="29"/>
        <v>Medium</v>
      </c>
      <c r="F73" t="s">
        <v>138</v>
      </c>
      <c r="G73" t="s">
        <v>139</v>
      </c>
      <c r="H73">
        <v>2010</v>
      </c>
      <c r="I73" t="s">
        <v>81</v>
      </c>
      <c r="J73" t="s">
        <v>91</v>
      </c>
      <c r="L73" t="s">
        <v>83</v>
      </c>
      <c r="M73" t="s">
        <v>85</v>
      </c>
      <c r="N73" t="s">
        <v>84</v>
      </c>
      <c r="O73" t="s">
        <v>84</v>
      </c>
      <c r="P73" t="s">
        <v>84</v>
      </c>
      <c r="Q73" t="s">
        <v>84</v>
      </c>
      <c r="R73" t="s">
        <v>85</v>
      </c>
      <c r="S73" s="8">
        <f t="shared" si="30"/>
        <v>4</v>
      </c>
      <c r="T73" s="8">
        <v>0</v>
      </c>
      <c r="U73" s="8">
        <f t="shared" si="31"/>
        <v>66.666666666666657</v>
      </c>
      <c r="V73" t="str">
        <f t="shared" si="32"/>
        <v>Medium</v>
      </c>
      <c r="X73" t="s">
        <v>84</v>
      </c>
      <c r="Y73" t="s">
        <v>84</v>
      </c>
      <c r="Z73" t="s">
        <v>84</v>
      </c>
      <c r="AA73" t="s">
        <v>85</v>
      </c>
      <c r="AB73" t="s">
        <v>85</v>
      </c>
      <c r="AC73" t="s">
        <v>85</v>
      </c>
      <c r="AD73">
        <f t="shared" si="33"/>
        <v>3</v>
      </c>
      <c r="AE73">
        <f t="shared" si="34"/>
        <v>42.857142857142854</v>
      </c>
      <c r="AF73" t="str">
        <f t="shared" si="22"/>
        <v>Medium</v>
      </c>
      <c r="AG73" t="s">
        <v>84</v>
      </c>
      <c r="AH73" t="s">
        <v>85</v>
      </c>
      <c r="AI73" t="s">
        <v>85</v>
      </c>
      <c r="AJ73" t="s">
        <v>84</v>
      </c>
      <c r="AK73" t="s">
        <v>84</v>
      </c>
      <c r="AL73" t="s">
        <v>84</v>
      </c>
      <c r="AM73">
        <f t="shared" si="35"/>
        <v>4</v>
      </c>
      <c r="AN73">
        <f t="shared" si="36"/>
        <v>57.142857142857139</v>
      </c>
      <c r="AO73" t="str">
        <f t="shared" si="23"/>
        <v>Medium</v>
      </c>
      <c r="AP73" t="s">
        <v>85</v>
      </c>
      <c r="AQ73" t="s">
        <v>84</v>
      </c>
      <c r="AR73" t="s">
        <v>84</v>
      </c>
      <c r="AS73" t="s">
        <v>84</v>
      </c>
      <c r="AT73" t="s">
        <v>85</v>
      </c>
      <c r="AU73" t="s">
        <v>85</v>
      </c>
      <c r="AV73" t="s">
        <v>84</v>
      </c>
      <c r="AW73">
        <f t="shared" si="37"/>
        <v>3</v>
      </c>
      <c r="AX73">
        <f t="shared" si="38"/>
        <v>57.142857142857139</v>
      </c>
      <c r="AY73" t="str">
        <f t="shared" si="24"/>
        <v>Medium</v>
      </c>
      <c r="AZ73" t="s">
        <v>84</v>
      </c>
      <c r="BA73" t="s">
        <v>85</v>
      </c>
      <c r="BB73" t="s">
        <v>84</v>
      </c>
      <c r="BC73" t="s">
        <v>84</v>
      </c>
      <c r="BD73" t="s">
        <v>84</v>
      </c>
      <c r="BE73" t="s">
        <v>85</v>
      </c>
      <c r="BF73" t="s">
        <v>85</v>
      </c>
      <c r="BG73" t="s">
        <v>84</v>
      </c>
      <c r="BH73">
        <f t="shared" si="39"/>
        <v>5</v>
      </c>
      <c r="BI73">
        <f t="shared" si="40"/>
        <v>71.428571428571431</v>
      </c>
      <c r="BJ73" t="str">
        <f t="shared" si="25"/>
        <v>High</v>
      </c>
      <c r="BK73" t="s">
        <v>85</v>
      </c>
      <c r="BL73" t="s">
        <v>85</v>
      </c>
      <c r="BM73" t="s">
        <v>84</v>
      </c>
      <c r="BN73" t="s">
        <v>84</v>
      </c>
      <c r="BO73">
        <f t="shared" si="41"/>
        <v>2</v>
      </c>
      <c r="BP73">
        <f t="shared" si="42"/>
        <v>28.571428571428569</v>
      </c>
      <c r="BQ73" t="str">
        <f t="shared" si="43"/>
        <v>Low</v>
      </c>
      <c r="BR73">
        <f t="shared" si="26"/>
        <v>58.064516129032263</v>
      </c>
      <c r="BS73">
        <f t="shared" si="27"/>
        <v>18</v>
      </c>
      <c r="BT73" t="str">
        <f t="shared" si="28"/>
        <v>Moderate</v>
      </c>
      <c r="BU73" t="s">
        <v>105</v>
      </c>
      <c r="BV73" s="13" t="s">
        <v>114</v>
      </c>
      <c r="BW73" s="9">
        <v>2022</v>
      </c>
      <c r="BX73" s="10" t="s">
        <v>88</v>
      </c>
      <c r="BZ73" t="s">
        <v>101</v>
      </c>
    </row>
    <row r="74" spans="1:78" x14ac:dyDescent="0.25">
      <c r="A74" t="s">
        <v>222</v>
      </c>
      <c r="B74">
        <v>45.702500000000001</v>
      </c>
      <c r="C74">
        <v>-65.031388888888799</v>
      </c>
      <c r="D74" s="8">
        <v>2500</v>
      </c>
      <c r="E74" s="8" t="str">
        <f t="shared" si="29"/>
        <v>Medium</v>
      </c>
      <c r="F74" t="s">
        <v>138</v>
      </c>
      <c r="G74" t="s">
        <v>139</v>
      </c>
      <c r="H74">
        <v>2020</v>
      </c>
      <c r="I74" t="s">
        <v>98</v>
      </c>
      <c r="J74" t="s">
        <v>91</v>
      </c>
      <c r="L74" t="s">
        <v>104</v>
      </c>
      <c r="M74" t="s">
        <v>85</v>
      </c>
      <c r="N74" t="s">
        <v>85</v>
      </c>
      <c r="O74" t="s">
        <v>85</v>
      </c>
      <c r="P74" t="s">
        <v>84</v>
      </c>
      <c r="Q74" t="s">
        <v>84</v>
      </c>
      <c r="R74" t="s">
        <v>85</v>
      </c>
      <c r="S74" s="8">
        <f t="shared" si="30"/>
        <v>2</v>
      </c>
      <c r="T74" s="8">
        <v>0</v>
      </c>
      <c r="U74" s="8">
        <f t="shared" si="31"/>
        <v>33.333333333333329</v>
      </c>
      <c r="V74" t="str">
        <f t="shared" si="32"/>
        <v>Medium</v>
      </c>
      <c r="X74" t="s">
        <v>84</v>
      </c>
      <c r="Y74" t="s">
        <v>84</v>
      </c>
      <c r="Z74" t="s">
        <v>84</v>
      </c>
      <c r="AA74" t="s">
        <v>84</v>
      </c>
      <c r="AB74" t="s">
        <v>85</v>
      </c>
      <c r="AC74" t="s">
        <v>85</v>
      </c>
      <c r="AD74">
        <f t="shared" si="33"/>
        <v>4</v>
      </c>
      <c r="AE74">
        <f t="shared" si="34"/>
        <v>57.142857142857139</v>
      </c>
      <c r="AF74" t="str">
        <f t="shared" si="22"/>
        <v>Medium</v>
      </c>
      <c r="AG74" t="s">
        <v>84</v>
      </c>
      <c r="AH74" t="s">
        <v>84</v>
      </c>
      <c r="AI74" t="s">
        <v>84</v>
      </c>
      <c r="AJ74" t="s">
        <v>85</v>
      </c>
      <c r="AK74" t="s">
        <v>84</v>
      </c>
      <c r="AL74" t="s">
        <v>84</v>
      </c>
      <c r="AM74">
        <f t="shared" si="35"/>
        <v>5</v>
      </c>
      <c r="AN74">
        <f t="shared" si="36"/>
        <v>71.428571428571431</v>
      </c>
      <c r="AO74" t="str">
        <f t="shared" si="23"/>
        <v>High</v>
      </c>
      <c r="AP74" t="s">
        <v>84</v>
      </c>
      <c r="AQ74" t="s">
        <v>84</v>
      </c>
      <c r="AR74" t="s">
        <v>84</v>
      </c>
      <c r="AS74" t="s">
        <v>84</v>
      </c>
      <c r="AT74" t="s">
        <v>85</v>
      </c>
      <c r="AU74" t="s">
        <v>84</v>
      </c>
      <c r="AV74" t="s">
        <v>84</v>
      </c>
      <c r="AW74">
        <f t="shared" si="37"/>
        <v>5</v>
      </c>
      <c r="AX74">
        <f t="shared" si="38"/>
        <v>85.714285714285708</v>
      </c>
      <c r="AY74" t="str">
        <f t="shared" si="24"/>
        <v>High</v>
      </c>
      <c r="AZ74" t="s">
        <v>84</v>
      </c>
      <c r="BA74" t="s">
        <v>84</v>
      </c>
      <c r="BB74" t="s">
        <v>85</v>
      </c>
      <c r="BC74" t="s">
        <v>85</v>
      </c>
      <c r="BD74" t="s">
        <v>84</v>
      </c>
      <c r="BE74" t="s">
        <v>84</v>
      </c>
      <c r="BF74" t="s">
        <v>84</v>
      </c>
      <c r="BG74" t="s">
        <v>84</v>
      </c>
      <c r="BH74">
        <f t="shared" si="39"/>
        <v>6</v>
      </c>
      <c r="BI74">
        <f t="shared" si="40"/>
        <v>85.714285714285708</v>
      </c>
      <c r="BJ74" t="str">
        <f t="shared" si="25"/>
        <v>High</v>
      </c>
      <c r="BK74" t="s">
        <v>84</v>
      </c>
      <c r="BL74" t="s">
        <v>84</v>
      </c>
      <c r="BM74" t="s">
        <v>85</v>
      </c>
      <c r="BN74" t="s">
        <v>84</v>
      </c>
      <c r="BO74">
        <f t="shared" si="41"/>
        <v>3</v>
      </c>
      <c r="BP74">
        <f t="shared" si="42"/>
        <v>42.857142857142854</v>
      </c>
      <c r="BQ74" t="str">
        <f t="shared" si="43"/>
        <v>Medium</v>
      </c>
      <c r="BR74">
        <f t="shared" si="26"/>
        <v>77.41935483870968</v>
      </c>
      <c r="BS74">
        <f t="shared" si="27"/>
        <v>24</v>
      </c>
      <c r="BT74" t="str">
        <f t="shared" si="28"/>
        <v>High</v>
      </c>
      <c r="BU74" t="s">
        <v>92</v>
      </c>
      <c r="BV74" s="13" t="s">
        <v>88</v>
      </c>
      <c r="BW74" s="9">
        <v>2023</v>
      </c>
      <c r="BX74" s="10" t="s">
        <v>88</v>
      </c>
      <c r="BY74" s="8">
        <v>0.1</v>
      </c>
      <c r="BZ74" t="s">
        <v>94</v>
      </c>
    </row>
    <row r="75" spans="1:78" x14ac:dyDescent="0.25">
      <c r="A75" t="s">
        <v>223</v>
      </c>
      <c r="B75">
        <v>39.451944444444401</v>
      </c>
      <c r="C75">
        <v>-5.3274999999999997</v>
      </c>
      <c r="D75" s="8">
        <v>2544.4</v>
      </c>
      <c r="E75" s="8" t="str">
        <f t="shared" si="29"/>
        <v>Medium</v>
      </c>
      <c r="F75" t="s">
        <v>79</v>
      </c>
      <c r="G75" t="s">
        <v>90</v>
      </c>
      <c r="H75">
        <v>2011</v>
      </c>
      <c r="I75" t="s">
        <v>103</v>
      </c>
      <c r="J75" t="s">
        <v>82</v>
      </c>
      <c r="L75" t="s">
        <v>83</v>
      </c>
      <c r="M75" t="s">
        <v>85</v>
      </c>
      <c r="N75" t="s">
        <v>85</v>
      </c>
      <c r="O75" t="s">
        <v>84</v>
      </c>
      <c r="P75" t="s">
        <v>84</v>
      </c>
      <c r="Q75" t="s">
        <v>84</v>
      </c>
      <c r="R75" t="s">
        <v>85</v>
      </c>
      <c r="S75" s="8">
        <f t="shared" si="30"/>
        <v>3</v>
      </c>
      <c r="T75" s="8">
        <v>0</v>
      </c>
      <c r="U75" s="8">
        <f t="shared" si="31"/>
        <v>50</v>
      </c>
      <c r="V75" t="str">
        <f t="shared" si="32"/>
        <v>Medium</v>
      </c>
      <c r="X75" t="s">
        <v>84</v>
      </c>
      <c r="Y75" t="s">
        <v>84</v>
      </c>
      <c r="Z75" t="s">
        <v>84</v>
      </c>
      <c r="AA75" t="s">
        <v>85</v>
      </c>
      <c r="AB75" t="s">
        <v>84</v>
      </c>
      <c r="AC75" t="s">
        <v>85</v>
      </c>
      <c r="AD75">
        <f t="shared" si="33"/>
        <v>4</v>
      </c>
      <c r="AE75">
        <f t="shared" si="34"/>
        <v>57.142857142857139</v>
      </c>
      <c r="AF75" t="str">
        <f t="shared" si="22"/>
        <v>Medium</v>
      </c>
      <c r="AG75" t="s">
        <v>85</v>
      </c>
      <c r="AH75" t="s">
        <v>85</v>
      </c>
      <c r="AI75" t="s">
        <v>84</v>
      </c>
      <c r="AJ75" t="s">
        <v>84</v>
      </c>
      <c r="AK75" t="s">
        <v>84</v>
      </c>
      <c r="AL75" t="s">
        <v>84</v>
      </c>
      <c r="AM75">
        <f t="shared" si="35"/>
        <v>4</v>
      </c>
      <c r="AN75">
        <f t="shared" si="36"/>
        <v>57.142857142857139</v>
      </c>
      <c r="AO75" t="str">
        <f t="shared" si="23"/>
        <v>Medium</v>
      </c>
      <c r="AP75" t="s">
        <v>85</v>
      </c>
      <c r="AQ75" t="s">
        <v>84</v>
      </c>
      <c r="AR75" t="s">
        <v>84</v>
      </c>
      <c r="AS75" t="s">
        <v>85</v>
      </c>
      <c r="AT75" t="s">
        <v>85</v>
      </c>
      <c r="AU75" t="s">
        <v>85</v>
      </c>
      <c r="AV75" t="s">
        <v>85</v>
      </c>
      <c r="AW75">
        <f t="shared" si="37"/>
        <v>2</v>
      </c>
      <c r="AX75">
        <f t="shared" si="38"/>
        <v>28.571428571428569</v>
      </c>
      <c r="AY75" t="str">
        <f t="shared" si="24"/>
        <v>Low</v>
      </c>
      <c r="AZ75" t="s">
        <v>84</v>
      </c>
      <c r="BA75" t="s">
        <v>85</v>
      </c>
      <c r="BB75" t="s">
        <v>85</v>
      </c>
      <c r="BC75" t="s">
        <v>84</v>
      </c>
      <c r="BD75" t="s">
        <v>84</v>
      </c>
      <c r="BE75" t="s">
        <v>85</v>
      </c>
      <c r="BF75" t="s">
        <v>84</v>
      </c>
      <c r="BG75" t="s">
        <v>85</v>
      </c>
      <c r="BH75">
        <f t="shared" si="39"/>
        <v>4</v>
      </c>
      <c r="BI75">
        <f t="shared" si="40"/>
        <v>57.142857142857139</v>
      </c>
      <c r="BJ75" t="str">
        <f t="shared" si="25"/>
        <v>Medium</v>
      </c>
      <c r="BK75" t="s">
        <v>84</v>
      </c>
      <c r="BL75" t="s">
        <v>84</v>
      </c>
      <c r="BM75" t="s">
        <v>85</v>
      </c>
      <c r="BN75" t="s">
        <v>85</v>
      </c>
      <c r="BO75">
        <f t="shared" si="41"/>
        <v>2</v>
      </c>
      <c r="BP75">
        <f t="shared" si="42"/>
        <v>28.571428571428569</v>
      </c>
      <c r="BQ75" t="str">
        <f t="shared" si="43"/>
        <v>Low</v>
      </c>
      <c r="BR75">
        <f t="shared" si="26"/>
        <v>51.612903225806448</v>
      </c>
      <c r="BS75">
        <f t="shared" si="27"/>
        <v>16</v>
      </c>
      <c r="BT75" t="str">
        <f t="shared" si="28"/>
        <v>Moderate</v>
      </c>
      <c r="BU75" t="s">
        <v>92</v>
      </c>
      <c r="BV75" s="13" t="s">
        <v>93</v>
      </c>
      <c r="BW75" s="9">
        <v>2023</v>
      </c>
      <c r="BX75" s="10" t="s">
        <v>88</v>
      </c>
      <c r="BY75" s="8">
        <v>0.2</v>
      </c>
      <c r="BZ75" t="s">
        <v>94</v>
      </c>
    </row>
    <row r="76" spans="1:78" x14ac:dyDescent="0.25">
      <c r="A76" t="s">
        <v>224</v>
      </c>
      <c r="B76">
        <v>30.7294444444444</v>
      </c>
      <c r="C76">
        <v>115.053611111111</v>
      </c>
      <c r="D76" s="8">
        <v>2625.54</v>
      </c>
      <c r="E76" s="8" t="str">
        <f t="shared" si="29"/>
        <v>Medium</v>
      </c>
      <c r="F76" t="s">
        <v>96</v>
      </c>
      <c r="G76" t="s">
        <v>97</v>
      </c>
      <c r="H76">
        <v>2018</v>
      </c>
      <c r="I76" t="s">
        <v>98</v>
      </c>
      <c r="J76" t="s">
        <v>10</v>
      </c>
      <c r="K76" t="s">
        <v>225</v>
      </c>
      <c r="L76" t="s">
        <v>199</v>
      </c>
      <c r="M76" t="s">
        <v>85</v>
      </c>
      <c r="N76" t="s">
        <v>85</v>
      </c>
      <c r="O76" t="s">
        <v>84</v>
      </c>
      <c r="P76" t="s">
        <v>85</v>
      </c>
      <c r="Q76" t="s">
        <v>85</v>
      </c>
      <c r="R76" t="s">
        <v>85</v>
      </c>
      <c r="S76" s="8">
        <f t="shared" si="30"/>
        <v>1</v>
      </c>
      <c r="T76" s="8">
        <v>0</v>
      </c>
      <c r="U76" s="8">
        <f t="shared" si="31"/>
        <v>16.666666666666664</v>
      </c>
      <c r="V76" t="str">
        <f t="shared" si="32"/>
        <v>Low</v>
      </c>
      <c r="X76" t="s">
        <v>85</v>
      </c>
      <c r="Y76" t="s">
        <v>85</v>
      </c>
      <c r="Z76" t="s">
        <v>85</v>
      </c>
      <c r="AA76" t="s">
        <v>85</v>
      </c>
      <c r="AB76" t="s">
        <v>85</v>
      </c>
      <c r="AC76" t="s">
        <v>85</v>
      </c>
      <c r="AD76">
        <f t="shared" si="33"/>
        <v>0</v>
      </c>
      <c r="AE76">
        <f t="shared" si="34"/>
        <v>0</v>
      </c>
      <c r="AF76" t="str">
        <f t="shared" si="22"/>
        <v>Low</v>
      </c>
      <c r="AG76" t="s">
        <v>85</v>
      </c>
      <c r="AH76" t="s">
        <v>85</v>
      </c>
      <c r="AI76" t="s">
        <v>85</v>
      </c>
      <c r="AJ76" t="s">
        <v>85</v>
      </c>
      <c r="AK76" t="s">
        <v>85</v>
      </c>
      <c r="AL76" t="s">
        <v>85</v>
      </c>
      <c r="AM76">
        <f t="shared" si="35"/>
        <v>0</v>
      </c>
      <c r="AN76">
        <f t="shared" si="36"/>
        <v>0</v>
      </c>
      <c r="AO76" t="str">
        <f t="shared" si="23"/>
        <v>Low</v>
      </c>
      <c r="AP76" t="s">
        <v>85</v>
      </c>
      <c r="AQ76" t="s">
        <v>85</v>
      </c>
      <c r="AR76" t="s">
        <v>85</v>
      </c>
      <c r="AS76" t="s">
        <v>85</v>
      </c>
      <c r="AT76" t="s">
        <v>85</v>
      </c>
      <c r="AU76" t="s">
        <v>85</v>
      </c>
      <c r="AV76" t="s">
        <v>85</v>
      </c>
      <c r="AW76">
        <f t="shared" si="37"/>
        <v>0</v>
      </c>
      <c r="AX76">
        <f t="shared" si="38"/>
        <v>0</v>
      </c>
      <c r="AY76" t="str">
        <f t="shared" si="24"/>
        <v>Low</v>
      </c>
      <c r="AZ76" t="s">
        <v>85</v>
      </c>
      <c r="BA76" t="s">
        <v>85</v>
      </c>
      <c r="BB76" t="s">
        <v>85</v>
      </c>
      <c r="BC76" t="s">
        <v>85</v>
      </c>
      <c r="BD76" t="s">
        <v>85</v>
      </c>
      <c r="BE76" t="s">
        <v>85</v>
      </c>
      <c r="BF76" t="s">
        <v>85</v>
      </c>
      <c r="BG76" t="s">
        <v>85</v>
      </c>
      <c r="BH76">
        <f t="shared" si="39"/>
        <v>0</v>
      </c>
      <c r="BI76">
        <f t="shared" si="40"/>
        <v>0</v>
      </c>
      <c r="BJ76" t="str">
        <f t="shared" si="25"/>
        <v>Low</v>
      </c>
      <c r="BK76" t="s">
        <v>85</v>
      </c>
      <c r="BL76" t="s">
        <v>85</v>
      </c>
      <c r="BM76" t="s">
        <v>85</v>
      </c>
      <c r="BN76" t="s">
        <v>85</v>
      </c>
      <c r="BO76">
        <f t="shared" si="41"/>
        <v>0</v>
      </c>
      <c r="BP76">
        <f t="shared" si="42"/>
        <v>0</v>
      </c>
      <c r="BQ76" t="str">
        <f t="shared" si="43"/>
        <v>Low</v>
      </c>
      <c r="BR76">
        <f t="shared" si="26"/>
        <v>0</v>
      </c>
      <c r="BS76">
        <f t="shared" si="27"/>
        <v>0</v>
      </c>
      <c r="BT76" t="str">
        <f t="shared" si="28"/>
        <v>Low</v>
      </c>
      <c r="BU76" t="s">
        <v>105</v>
      </c>
      <c r="BV76" s="13" t="s">
        <v>99</v>
      </c>
      <c r="BX76" s="10" t="s">
        <v>100</v>
      </c>
      <c r="BZ76" t="s">
        <v>101</v>
      </c>
    </row>
    <row r="77" spans="1:78" x14ac:dyDescent="0.25">
      <c r="A77" t="s">
        <v>226</v>
      </c>
      <c r="B77">
        <v>26.9172222222222</v>
      </c>
      <c r="C77">
        <v>119.017222222222</v>
      </c>
      <c r="D77" s="8">
        <v>2660.34</v>
      </c>
      <c r="E77" s="8" t="str">
        <f t="shared" si="29"/>
        <v>Medium</v>
      </c>
      <c r="F77" t="s">
        <v>96</v>
      </c>
      <c r="G77" t="s">
        <v>97</v>
      </c>
      <c r="H77">
        <v>2010</v>
      </c>
      <c r="I77" t="s">
        <v>81</v>
      </c>
      <c r="J77" t="s">
        <v>113</v>
      </c>
      <c r="L77" t="s">
        <v>121</v>
      </c>
      <c r="M77" t="s">
        <v>85</v>
      </c>
      <c r="N77" t="s">
        <v>85</v>
      </c>
      <c r="O77" t="s">
        <v>85</v>
      </c>
      <c r="P77" t="s">
        <v>85</v>
      </c>
      <c r="Q77" t="s">
        <v>84</v>
      </c>
      <c r="R77" t="s">
        <v>85</v>
      </c>
      <c r="S77" s="8">
        <f t="shared" si="30"/>
        <v>1</v>
      </c>
      <c r="T77" s="8">
        <v>0</v>
      </c>
      <c r="U77" s="8">
        <f t="shared" si="31"/>
        <v>16.666666666666664</v>
      </c>
      <c r="V77" t="str">
        <f t="shared" si="32"/>
        <v>Low</v>
      </c>
      <c r="X77" t="s">
        <v>84</v>
      </c>
      <c r="Y77" t="s">
        <v>85</v>
      </c>
      <c r="Z77" t="s">
        <v>85</v>
      </c>
      <c r="AA77" t="s">
        <v>85</v>
      </c>
      <c r="AB77" t="s">
        <v>84</v>
      </c>
      <c r="AC77" t="s">
        <v>84</v>
      </c>
      <c r="AD77">
        <f t="shared" si="33"/>
        <v>3</v>
      </c>
      <c r="AE77">
        <f t="shared" si="34"/>
        <v>42.857142857142854</v>
      </c>
      <c r="AF77" t="str">
        <f t="shared" si="22"/>
        <v>Medium</v>
      </c>
      <c r="AG77" t="s">
        <v>84</v>
      </c>
      <c r="AH77" t="s">
        <v>84</v>
      </c>
      <c r="AI77" t="s">
        <v>85</v>
      </c>
      <c r="AJ77" t="s">
        <v>85</v>
      </c>
      <c r="AK77" t="s">
        <v>85</v>
      </c>
      <c r="AL77" t="s">
        <v>85</v>
      </c>
      <c r="AM77">
        <f t="shared" si="35"/>
        <v>2</v>
      </c>
      <c r="AN77">
        <f t="shared" si="36"/>
        <v>28.571428571428569</v>
      </c>
      <c r="AO77" t="str">
        <f t="shared" si="23"/>
        <v>Low</v>
      </c>
      <c r="AP77" t="s">
        <v>85</v>
      </c>
      <c r="AQ77" t="s">
        <v>85</v>
      </c>
      <c r="AR77" t="s">
        <v>85</v>
      </c>
      <c r="AS77" t="s">
        <v>85</v>
      </c>
      <c r="AT77" t="s">
        <v>85</v>
      </c>
      <c r="AU77" t="s">
        <v>85</v>
      </c>
      <c r="AV77" t="s">
        <v>85</v>
      </c>
      <c r="AW77">
        <f t="shared" si="37"/>
        <v>0</v>
      </c>
      <c r="AX77">
        <f t="shared" si="38"/>
        <v>0</v>
      </c>
      <c r="AY77" t="str">
        <f t="shared" si="24"/>
        <v>Low</v>
      </c>
      <c r="AZ77" t="s">
        <v>84</v>
      </c>
      <c r="BA77" t="s">
        <v>85</v>
      </c>
      <c r="BB77" t="s">
        <v>84</v>
      </c>
      <c r="BC77" t="s">
        <v>85</v>
      </c>
      <c r="BD77" t="s">
        <v>84</v>
      </c>
      <c r="BE77" t="s">
        <v>85</v>
      </c>
      <c r="BF77" t="s">
        <v>85</v>
      </c>
      <c r="BG77" t="s">
        <v>85</v>
      </c>
      <c r="BH77">
        <f t="shared" si="39"/>
        <v>3</v>
      </c>
      <c r="BI77">
        <f t="shared" si="40"/>
        <v>42.857142857142854</v>
      </c>
      <c r="BJ77" t="str">
        <f t="shared" si="25"/>
        <v>Medium</v>
      </c>
      <c r="BK77" t="s">
        <v>85</v>
      </c>
      <c r="BL77" t="s">
        <v>85</v>
      </c>
      <c r="BM77" t="s">
        <v>84</v>
      </c>
      <c r="BN77" t="s">
        <v>85</v>
      </c>
      <c r="BO77">
        <f t="shared" si="41"/>
        <v>1</v>
      </c>
      <c r="BP77">
        <f t="shared" si="42"/>
        <v>14.285714285714285</v>
      </c>
      <c r="BQ77" t="str">
        <f t="shared" si="43"/>
        <v>Low</v>
      </c>
      <c r="BR77">
        <f t="shared" si="26"/>
        <v>29.032258064516132</v>
      </c>
      <c r="BS77">
        <f t="shared" si="27"/>
        <v>9</v>
      </c>
      <c r="BT77" t="str">
        <f t="shared" si="28"/>
        <v>Low</v>
      </c>
      <c r="BU77" t="s">
        <v>92</v>
      </c>
      <c r="BV77" s="13" t="s">
        <v>93</v>
      </c>
      <c r="BW77" s="9">
        <v>2018</v>
      </c>
      <c r="BX77" s="10" t="s">
        <v>100</v>
      </c>
      <c r="BY77" s="8">
        <v>0.2</v>
      </c>
      <c r="BZ77" t="s">
        <v>94</v>
      </c>
    </row>
    <row r="78" spans="1:78" x14ac:dyDescent="0.25">
      <c r="A78" t="s">
        <v>227</v>
      </c>
      <c r="B78">
        <v>28.3880555555555</v>
      </c>
      <c r="C78">
        <v>109.52527777777701</v>
      </c>
      <c r="D78" s="8">
        <v>2710</v>
      </c>
      <c r="E78" s="8" t="str">
        <f t="shared" si="29"/>
        <v>Medium</v>
      </c>
      <c r="F78" t="s">
        <v>96</v>
      </c>
      <c r="G78" t="s">
        <v>97</v>
      </c>
      <c r="H78">
        <v>2020</v>
      </c>
      <c r="I78" t="s">
        <v>98</v>
      </c>
      <c r="J78" t="s">
        <v>82</v>
      </c>
      <c r="L78" t="s">
        <v>83</v>
      </c>
      <c r="M78" t="s">
        <v>84</v>
      </c>
      <c r="N78" t="s">
        <v>85</v>
      </c>
      <c r="O78" t="s">
        <v>85</v>
      </c>
      <c r="P78" t="s">
        <v>84</v>
      </c>
      <c r="Q78" t="s">
        <v>84</v>
      </c>
      <c r="R78" t="s">
        <v>85</v>
      </c>
      <c r="S78" s="8">
        <f t="shared" si="30"/>
        <v>3</v>
      </c>
      <c r="T78" s="8">
        <v>0</v>
      </c>
      <c r="U78" s="8">
        <f t="shared" si="31"/>
        <v>50</v>
      </c>
      <c r="V78" t="str">
        <f t="shared" si="32"/>
        <v>Medium</v>
      </c>
      <c r="X78" t="s">
        <v>84</v>
      </c>
      <c r="Y78" t="s">
        <v>84</v>
      </c>
      <c r="Z78" t="s">
        <v>84</v>
      </c>
      <c r="AA78" t="s">
        <v>85</v>
      </c>
      <c r="AB78" t="s">
        <v>85</v>
      </c>
      <c r="AC78" t="s">
        <v>85</v>
      </c>
      <c r="AD78">
        <f t="shared" si="33"/>
        <v>3</v>
      </c>
      <c r="AE78">
        <f t="shared" si="34"/>
        <v>42.857142857142854</v>
      </c>
      <c r="AF78" t="str">
        <f t="shared" si="22"/>
        <v>Medium</v>
      </c>
      <c r="AG78" t="s">
        <v>84</v>
      </c>
      <c r="AH78" t="s">
        <v>84</v>
      </c>
      <c r="AI78" t="s">
        <v>84</v>
      </c>
      <c r="AJ78" t="s">
        <v>85</v>
      </c>
      <c r="AK78" t="s">
        <v>85</v>
      </c>
      <c r="AL78" t="s">
        <v>84</v>
      </c>
      <c r="AM78">
        <f t="shared" si="35"/>
        <v>4</v>
      </c>
      <c r="AN78">
        <f t="shared" si="36"/>
        <v>57.142857142857139</v>
      </c>
      <c r="AO78" t="str">
        <f t="shared" si="23"/>
        <v>Medium</v>
      </c>
      <c r="AP78" t="s">
        <v>84</v>
      </c>
      <c r="AQ78" t="s">
        <v>84</v>
      </c>
      <c r="AR78" t="s">
        <v>84</v>
      </c>
      <c r="AS78" t="s">
        <v>85</v>
      </c>
      <c r="AT78" t="s">
        <v>85</v>
      </c>
      <c r="AU78" t="s">
        <v>85</v>
      </c>
      <c r="AV78" t="s">
        <v>85</v>
      </c>
      <c r="AW78">
        <f t="shared" si="37"/>
        <v>3</v>
      </c>
      <c r="AX78">
        <f t="shared" si="38"/>
        <v>42.857142857142854</v>
      </c>
      <c r="AY78" t="str">
        <f t="shared" si="24"/>
        <v>Medium</v>
      </c>
      <c r="AZ78" t="s">
        <v>84</v>
      </c>
      <c r="BA78" t="s">
        <v>84</v>
      </c>
      <c r="BB78" t="s">
        <v>84</v>
      </c>
      <c r="BC78" t="s">
        <v>85</v>
      </c>
      <c r="BD78" t="s">
        <v>84</v>
      </c>
      <c r="BE78" t="s">
        <v>85</v>
      </c>
      <c r="BF78" t="s">
        <v>84</v>
      </c>
      <c r="BG78" t="s">
        <v>85</v>
      </c>
      <c r="BH78">
        <f t="shared" si="39"/>
        <v>5</v>
      </c>
      <c r="BI78">
        <f t="shared" si="40"/>
        <v>71.428571428571431</v>
      </c>
      <c r="BJ78" t="str">
        <f t="shared" si="25"/>
        <v>High</v>
      </c>
      <c r="BK78" t="s">
        <v>85</v>
      </c>
      <c r="BL78" t="s">
        <v>84</v>
      </c>
      <c r="BM78" t="s">
        <v>84</v>
      </c>
      <c r="BN78" t="s">
        <v>84</v>
      </c>
      <c r="BO78">
        <f t="shared" si="41"/>
        <v>3</v>
      </c>
      <c r="BP78">
        <f t="shared" si="42"/>
        <v>42.857142857142854</v>
      </c>
      <c r="BQ78" t="str">
        <f t="shared" si="43"/>
        <v>Medium</v>
      </c>
      <c r="BR78">
        <f t="shared" si="26"/>
        <v>58.064516129032263</v>
      </c>
      <c r="BS78">
        <f t="shared" si="27"/>
        <v>18</v>
      </c>
      <c r="BT78" t="str">
        <f t="shared" si="28"/>
        <v>Moderate</v>
      </c>
      <c r="BU78" t="s">
        <v>105</v>
      </c>
      <c r="BV78" s="13" t="s">
        <v>114</v>
      </c>
      <c r="BW78" s="9">
        <v>2023</v>
      </c>
      <c r="BX78" s="10" t="s">
        <v>88</v>
      </c>
      <c r="BY78" s="8"/>
      <c r="BZ78" t="s">
        <v>87</v>
      </c>
    </row>
    <row r="79" spans="1:78" x14ac:dyDescent="0.25">
      <c r="A79" t="s">
        <v>228</v>
      </c>
      <c r="B79">
        <v>-6.5583330000000002</v>
      </c>
      <c r="C79" s="11">
        <v>-36.557499999999997</v>
      </c>
      <c r="D79" s="8">
        <v>2800</v>
      </c>
      <c r="E79" s="8" t="str">
        <f t="shared" si="29"/>
        <v>Medium</v>
      </c>
      <c r="F79" t="s">
        <v>130</v>
      </c>
      <c r="G79" t="s">
        <v>229</v>
      </c>
      <c r="H79">
        <v>2022</v>
      </c>
      <c r="I79" t="s">
        <v>98</v>
      </c>
      <c r="J79" t="s">
        <v>10</v>
      </c>
      <c r="K79" t="s">
        <v>230</v>
      </c>
      <c r="L79" t="s">
        <v>121</v>
      </c>
      <c r="M79" t="s">
        <v>84</v>
      </c>
      <c r="N79" t="s">
        <v>85</v>
      </c>
      <c r="O79" t="s">
        <v>85</v>
      </c>
      <c r="P79" t="s">
        <v>84</v>
      </c>
      <c r="Q79" t="s">
        <v>84</v>
      </c>
      <c r="R79" t="s">
        <v>84</v>
      </c>
      <c r="S79" s="8">
        <f t="shared" si="30"/>
        <v>4</v>
      </c>
      <c r="T79" s="8">
        <v>0</v>
      </c>
      <c r="U79" s="8">
        <f t="shared" si="31"/>
        <v>66.666666666666657</v>
      </c>
      <c r="V79" t="str">
        <f t="shared" si="32"/>
        <v>Medium</v>
      </c>
      <c r="X79" t="s">
        <v>84</v>
      </c>
      <c r="Y79" t="s">
        <v>84</v>
      </c>
      <c r="Z79" t="s">
        <v>85</v>
      </c>
      <c r="AA79" t="s">
        <v>84</v>
      </c>
      <c r="AB79" t="s">
        <v>85</v>
      </c>
      <c r="AC79" t="s">
        <v>85</v>
      </c>
      <c r="AD79">
        <f t="shared" si="33"/>
        <v>3</v>
      </c>
      <c r="AE79">
        <f t="shared" si="34"/>
        <v>42.857142857142854</v>
      </c>
      <c r="AF79" t="str">
        <f t="shared" si="22"/>
        <v>Medium</v>
      </c>
      <c r="AG79" t="s">
        <v>84</v>
      </c>
      <c r="AH79" t="s">
        <v>85</v>
      </c>
      <c r="AI79" t="s">
        <v>84</v>
      </c>
      <c r="AJ79" t="s">
        <v>85</v>
      </c>
      <c r="AK79" t="s">
        <v>84</v>
      </c>
      <c r="AL79" t="s">
        <v>85</v>
      </c>
      <c r="AM79">
        <f t="shared" si="35"/>
        <v>3</v>
      </c>
      <c r="AN79">
        <f t="shared" si="36"/>
        <v>42.857142857142854</v>
      </c>
      <c r="AO79" t="str">
        <f t="shared" si="23"/>
        <v>Medium</v>
      </c>
      <c r="AP79" t="s">
        <v>84</v>
      </c>
      <c r="AQ79" t="s">
        <v>84</v>
      </c>
      <c r="AR79" t="s">
        <v>84</v>
      </c>
      <c r="AS79" t="s">
        <v>84</v>
      </c>
      <c r="AT79" t="s">
        <v>84</v>
      </c>
      <c r="AU79" t="s">
        <v>84</v>
      </c>
      <c r="AV79" t="s">
        <v>84</v>
      </c>
      <c r="AW79">
        <f t="shared" si="37"/>
        <v>6</v>
      </c>
      <c r="AX79">
        <f t="shared" si="38"/>
        <v>100</v>
      </c>
      <c r="AY79" t="str">
        <f t="shared" si="24"/>
        <v>High</v>
      </c>
      <c r="AZ79" t="s">
        <v>84</v>
      </c>
      <c r="BA79" t="s">
        <v>84</v>
      </c>
      <c r="BB79" t="s">
        <v>85</v>
      </c>
      <c r="BC79" t="s">
        <v>85</v>
      </c>
      <c r="BD79" t="s">
        <v>84</v>
      </c>
      <c r="BE79" t="s">
        <v>85</v>
      </c>
      <c r="BF79" t="s">
        <v>85</v>
      </c>
      <c r="BG79" t="s">
        <v>85</v>
      </c>
      <c r="BH79">
        <f t="shared" si="39"/>
        <v>3</v>
      </c>
      <c r="BI79">
        <f t="shared" si="40"/>
        <v>42.857142857142854</v>
      </c>
      <c r="BJ79" t="str">
        <f t="shared" si="25"/>
        <v>Medium</v>
      </c>
      <c r="BK79" t="s">
        <v>85</v>
      </c>
      <c r="BL79" t="s">
        <v>84</v>
      </c>
      <c r="BM79" t="s">
        <v>85</v>
      </c>
      <c r="BN79" t="s">
        <v>85</v>
      </c>
      <c r="BO79">
        <f t="shared" si="41"/>
        <v>1</v>
      </c>
      <c r="BP79">
        <f t="shared" si="42"/>
        <v>14.285714285714285</v>
      </c>
      <c r="BQ79" t="str">
        <f t="shared" si="43"/>
        <v>Low</v>
      </c>
      <c r="BR79">
        <f t="shared" si="26"/>
        <v>54.838709677419352</v>
      </c>
      <c r="BS79">
        <f t="shared" si="27"/>
        <v>17</v>
      </c>
      <c r="BT79" t="str">
        <f t="shared" si="28"/>
        <v>Moderate</v>
      </c>
      <c r="BU79" t="s">
        <v>92</v>
      </c>
      <c r="BV79" s="13" t="s">
        <v>93</v>
      </c>
      <c r="BX79" s="10" t="s">
        <v>115</v>
      </c>
      <c r="BZ79" t="s">
        <v>101</v>
      </c>
    </row>
    <row r="80" spans="1:78" x14ac:dyDescent="0.25">
      <c r="A80" t="s">
        <v>231</v>
      </c>
      <c r="B80">
        <v>-8.45131805555555</v>
      </c>
      <c r="C80">
        <v>116.431732222222</v>
      </c>
      <c r="D80" s="8">
        <v>2800</v>
      </c>
      <c r="E80" s="8" t="str">
        <f t="shared" si="29"/>
        <v>Medium</v>
      </c>
      <c r="F80" t="s">
        <v>96</v>
      </c>
      <c r="G80" t="s">
        <v>181</v>
      </c>
      <c r="H80">
        <v>2018</v>
      </c>
      <c r="I80" t="s">
        <v>98</v>
      </c>
      <c r="J80" t="s">
        <v>82</v>
      </c>
      <c r="L80" t="s">
        <v>104</v>
      </c>
      <c r="M80" s="12" t="s">
        <v>84</v>
      </c>
      <c r="N80" t="s">
        <v>85</v>
      </c>
      <c r="O80" t="s">
        <v>85</v>
      </c>
      <c r="P80" t="s">
        <v>84</v>
      </c>
      <c r="Q80" t="s">
        <v>85</v>
      </c>
      <c r="R80" t="s">
        <v>85</v>
      </c>
      <c r="S80" s="8">
        <f t="shared" si="30"/>
        <v>2</v>
      </c>
      <c r="T80" s="8">
        <v>0</v>
      </c>
      <c r="U80" s="8">
        <f t="shared" si="31"/>
        <v>33.333333333333329</v>
      </c>
      <c r="V80" t="str">
        <f t="shared" si="32"/>
        <v>Medium</v>
      </c>
      <c r="X80" t="s">
        <v>84</v>
      </c>
      <c r="Y80" s="12" t="s">
        <v>84</v>
      </c>
      <c r="Z80" t="s">
        <v>84</v>
      </c>
      <c r="AA80" t="s">
        <v>84</v>
      </c>
      <c r="AB80" t="s">
        <v>85</v>
      </c>
      <c r="AC80" t="s">
        <v>85</v>
      </c>
      <c r="AD80">
        <f t="shared" si="33"/>
        <v>4</v>
      </c>
      <c r="AE80">
        <f t="shared" si="34"/>
        <v>57.142857142857139</v>
      </c>
      <c r="AF80" t="str">
        <f t="shared" si="22"/>
        <v>Medium</v>
      </c>
      <c r="AG80" s="12" t="s">
        <v>84</v>
      </c>
      <c r="AH80" t="s">
        <v>84</v>
      </c>
      <c r="AI80" t="s">
        <v>84</v>
      </c>
      <c r="AJ80" t="s">
        <v>85</v>
      </c>
      <c r="AK80" t="s">
        <v>84</v>
      </c>
      <c r="AL80" t="s">
        <v>84</v>
      </c>
      <c r="AM80">
        <f t="shared" si="35"/>
        <v>5</v>
      </c>
      <c r="AN80">
        <f t="shared" si="36"/>
        <v>71.428571428571431</v>
      </c>
      <c r="AO80" t="str">
        <f t="shared" si="23"/>
        <v>High</v>
      </c>
      <c r="AP80" s="12" t="s">
        <v>84</v>
      </c>
      <c r="AQ80" s="12" t="s">
        <v>84</v>
      </c>
      <c r="AR80" t="s">
        <v>84</v>
      </c>
      <c r="AS80" s="12" t="s">
        <v>84</v>
      </c>
      <c r="AT80" t="s">
        <v>85</v>
      </c>
      <c r="AU80" t="s">
        <v>84</v>
      </c>
      <c r="AV80" t="s">
        <v>84</v>
      </c>
      <c r="AW80">
        <f t="shared" si="37"/>
        <v>5</v>
      </c>
      <c r="AX80">
        <f t="shared" si="38"/>
        <v>85.714285714285708</v>
      </c>
      <c r="AY80" t="str">
        <f t="shared" si="24"/>
        <v>High</v>
      </c>
      <c r="AZ80" t="s">
        <v>84</v>
      </c>
      <c r="BA80" t="s">
        <v>84</v>
      </c>
      <c r="BB80" t="s">
        <v>84</v>
      </c>
      <c r="BC80" t="s">
        <v>84</v>
      </c>
      <c r="BD80" t="s">
        <v>84</v>
      </c>
      <c r="BE80" t="s">
        <v>85</v>
      </c>
      <c r="BF80" t="s">
        <v>84</v>
      </c>
      <c r="BG80" t="s">
        <v>85</v>
      </c>
      <c r="BH80">
        <f t="shared" si="39"/>
        <v>6</v>
      </c>
      <c r="BI80">
        <f t="shared" si="40"/>
        <v>85.714285714285708</v>
      </c>
      <c r="BJ80" t="str">
        <f t="shared" si="25"/>
        <v>High</v>
      </c>
      <c r="BK80" s="12" t="s">
        <v>84</v>
      </c>
      <c r="BL80" t="s">
        <v>84</v>
      </c>
      <c r="BM80" t="s">
        <v>84</v>
      </c>
      <c r="BN80" t="s">
        <v>84</v>
      </c>
      <c r="BO80">
        <f t="shared" si="41"/>
        <v>4</v>
      </c>
      <c r="BP80">
        <f t="shared" si="42"/>
        <v>57.142857142857139</v>
      </c>
      <c r="BQ80" t="str">
        <f t="shared" si="43"/>
        <v>Medium</v>
      </c>
      <c r="BR80">
        <f t="shared" si="26"/>
        <v>80.645161290322577</v>
      </c>
      <c r="BS80">
        <f t="shared" si="27"/>
        <v>25</v>
      </c>
      <c r="BT80" t="str">
        <f t="shared" si="28"/>
        <v>High</v>
      </c>
      <c r="BU80" t="s">
        <v>92</v>
      </c>
      <c r="BV80" s="13" t="s">
        <v>114</v>
      </c>
      <c r="BW80" s="9">
        <v>2022</v>
      </c>
      <c r="BX80" s="10" t="s">
        <v>88</v>
      </c>
      <c r="BY80" s="8">
        <v>0.15</v>
      </c>
      <c r="BZ80" t="s">
        <v>94</v>
      </c>
    </row>
    <row r="81" spans="1:78" x14ac:dyDescent="0.25">
      <c r="A81" t="s">
        <v>232</v>
      </c>
      <c r="B81">
        <v>-29.195277999999998</v>
      </c>
      <c r="C81">
        <v>-49.947499999999998</v>
      </c>
      <c r="D81" s="8">
        <v>2830.8</v>
      </c>
      <c r="E81" s="8" t="str">
        <f t="shared" si="29"/>
        <v>Medium</v>
      </c>
      <c r="F81" t="s">
        <v>130</v>
      </c>
      <c r="G81" t="s">
        <v>229</v>
      </c>
      <c r="H81">
        <v>2022</v>
      </c>
      <c r="I81" t="s">
        <v>98</v>
      </c>
      <c r="J81" t="s">
        <v>10</v>
      </c>
      <c r="K81" t="s">
        <v>233</v>
      </c>
      <c r="L81" t="s">
        <v>121</v>
      </c>
      <c r="M81" t="s">
        <v>84</v>
      </c>
      <c r="N81" t="s">
        <v>85</v>
      </c>
      <c r="O81" t="s">
        <v>85</v>
      </c>
      <c r="P81" t="s">
        <v>85</v>
      </c>
      <c r="Q81" t="s">
        <v>85</v>
      </c>
      <c r="R81" t="s">
        <v>84</v>
      </c>
      <c r="S81" s="8">
        <f t="shared" si="30"/>
        <v>2</v>
      </c>
      <c r="T81" s="8">
        <v>0</v>
      </c>
      <c r="U81" s="8">
        <f t="shared" si="31"/>
        <v>33.333333333333329</v>
      </c>
      <c r="V81" t="str">
        <f t="shared" si="32"/>
        <v>Medium</v>
      </c>
      <c r="X81" t="s">
        <v>84</v>
      </c>
      <c r="Y81" t="s">
        <v>84</v>
      </c>
      <c r="Z81" t="s">
        <v>85</v>
      </c>
      <c r="AA81" t="s">
        <v>84</v>
      </c>
      <c r="AB81" t="s">
        <v>85</v>
      </c>
      <c r="AC81" t="s">
        <v>85</v>
      </c>
      <c r="AD81">
        <f t="shared" si="33"/>
        <v>3</v>
      </c>
      <c r="AE81">
        <f t="shared" si="34"/>
        <v>42.857142857142854</v>
      </c>
      <c r="AF81" t="str">
        <f t="shared" si="22"/>
        <v>Medium</v>
      </c>
      <c r="AG81" t="s">
        <v>84</v>
      </c>
      <c r="AH81" t="s">
        <v>85</v>
      </c>
      <c r="AI81" t="s">
        <v>85</v>
      </c>
      <c r="AJ81" t="s">
        <v>85</v>
      </c>
      <c r="AK81" t="s">
        <v>85</v>
      </c>
      <c r="AL81" t="s">
        <v>85</v>
      </c>
      <c r="AM81">
        <f t="shared" si="35"/>
        <v>1</v>
      </c>
      <c r="AN81">
        <f t="shared" si="36"/>
        <v>14.285714285714285</v>
      </c>
      <c r="AO81" t="str">
        <f t="shared" si="23"/>
        <v>Low</v>
      </c>
      <c r="AP81" t="s">
        <v>84</v>
      </c>
      <c r="AQ81" t="s">
        <v>85</v>
      </c>
      <c r="AR81" t="s">
        <v>84</v>
      </c>
      <c r="AS81" t="s">
        <v>84</v>
      </c>
      <c r="AT81" t="s">
        <v>85</v>
      </c>
      <c r="AU81" t="s">
        <v>84</v>
      </c>
      <c r="AV81" t="s">
        <v>85</v>
      </c>
      <c r="AW81">
        <f t="shared" si="37"/>
        <v>4</v>
      </c>
      <c r="AX81">
        <f t="shared" si="38"/>
        <v>57.142857142857139</v>
      </c>
      <c r="AY81" t="str">
        <f t="shared" si="24"/>
        <v>Medium</v>
      </c>
      <c r="AZ81" t="s">
        <v>84</v>
      </c>
      <c r="BA81" t="s">
        <v>84</v>
      </c>
      <c r="BB81" t="s">
        <v>84</v>
      </c>
      <c r="BC81" t="s">
        <v>85</v>
      </c>
      <c r="BD81" t="s">
        <v>85</v>
      </c>
      <c r="BE81" t="s">
        <v>84</v>
      </c>
      <c r="BF81" t="s">
        <v>84</v>
      </c>
      <c r="BG81" t="s">
        <v>85</v>
      </c>
      <c r="BH81">
        <f t="shared" si="39"/>
        <v>5</v>
      </c>
      <c r="BI81">
        <f t="shared" si="40"/>
        <v>71.428571428571431</v>
      </c>
      <c r="BJ81" t="str">
        <f t="shared" si="25"/>
        <v>High</v>
      </c>
      <c r="BK81" t="s">
        <v>84</v>
      </c>
      <c r="BL81" t="s">
        <v>85</v>
      </c>
      <c r="BM81" t="s">
        <v>85</v>
      </c>
      <c r="BN81" t="s">
        <v>84</v>
      </c>
      <c r="BO81">
        <f t="shared" si="41"/>
        <v>2</v>
      </c>
      <c r="BP81">
        <f t="shared" si="42"/>
        <v>28.571428571428569</v>
      </c>
      <c r="BQ81" t="str">
        <f t="shared" si="43"/>
        <v>Low</v>
      </c>
      <c r="BR81">
        <f t="shared" si="26"/>
        <v>48.387096774193552</v>
      </c>
      <c r="BS81">
        <f t="shared" si="27"/>
        <v>15</v>
      </c>
      <c r="BT81" t="str">
        <f t="shared" si="28"/>
        <v>Moderate</v>
      </c>
      <c r="BU81" t="s">
        <v>105</v>
      </c>
      <c r="BV81" s="13" t="s">
        <v>99</v>
      </c>
      <c r="BX81" s="10" t="s">
        <v>115</v>
      </c>
      <c r="BY81" s="8">
        <v>0.05</v>
      </c>
      <c r="BZ81" t="s">
        <v>94</v>
      </c>
    </row>
    <row r="82" spans="1:78" x14ac:dyDescent="0.25">
      <c r="A82" t="s">
        <v>234</v>
      </c>
      <c r="B82">
        <v>59.136666666666599</v>
      </c>
      <c r="C82">
        <v>9.9974999999999898</v>
      </c>
      <c r="D82" s="8">
        <v>3000</v>
      </c>
      <c r="E82" s="8" t="str">
        <f t="shared" si="29"/>
        <v>Medium</v>
      </c>
      <c r="F82" t="s">
        <v>79</v>
      </c>
      <c r="G82" t="s">
        <v>235</v>
      </c>
      <c r="H82">
        <v>2006</v>
      </c>
      <c r="I82" t="s">
        <v>81</v>
      </c>
      <c r="J82" t="s">
        <v>113</v>
      </c>
      <c r="L82" t="s">
        <v>83</v>
      </c>
      <c r="M82" t="s">
        <v>85</v>
      </c>
      <c r="N82" t="s">
        <v>85</v>
      </c>
      <c r="O82" t="s">
        <v>85</v>
      </c>
      <c r="P82" t="s">
        <v>84</v>
      </c>
      <c r="Q82" t="s">
        <v>84</v>
      </c>
      <c r="R82" t="s">
        <v>85</v>
      </c>
      <c r="S82" s="8">
        <f t="shared" si="30"/>
        <v>2</v>
      </c>
      <c r="T82" s="8">
        <v>0</v>
      </c>
      <c r="U82" s="8">
        <f t="shared" si="31"/>
        <v>33.333333333333329</v>
      </c>
      <c r="V82" t="str">
        <f t="shared" si="32"/>
        <v>Medium</v>
      </c>
      <c r="X82" t="s">
        <v>85</v>
      </c>
      <c r="Y82" t="s">
        <v>84</v>
      </c>
      <c r="Z82" t="s">
        <v>85</v>
      </c>
      <c r="AA82" t="s">
        <v>85</v>
      </c>
      <c r="AB82" t="s">
        <v>85</v>
      </c>
      <c r="AC82" t="s">
        <v>85</v>
      </c>
      <c r="AD82">
        <f t="shared" si="33"/>
        <v>1</v>
      </c>
      <c r="AE82">
        <f t="shared" si="34"/>
        <v>14.285714285714285</v>
      </c>
      <c r="AF82" t="str">
        <f t="shared" si="22"/>
        <v>Low</v>
      </c>
      <c r="AG82" t="s">
        <v>85</v>
      </c>
      <c r="AH82" t="s">
        <v>85</v>
      </c>
      <c r="AI82" t="s">
        <v>85</v>
      </c>
      <c r="AJ82" t="s">
        <v>85</v>
      </c>
      <c r="AK82" t="s">
        <v>84</v>
      </c>
      <c r="AL82" t="s">
        <v>85</v>
      </c>
      <c r="AM82">
        <f t="shared" si="35"/>
        <v>1</v>
      </c>
      <c r="AN82">
        <f t="shared" si="36"/>
        <v>14.285714285714285</v>
      </c>
      <c r="AO82" t="str">
        <f t="shared" si="23"/>
        <v>Low</v>
      </c>
      <c r="AP82" t="s">
        <v>85</v>
      </c>
      <c r="AQ82" t="s">
        <v>84</v>
      </c>
      <c r="AR82" t="s">
        <v>84</v>
      </c>
      <c r="AS82" t="s">
        <v>84</v>
      </c>
      <c r="AT82" t="s">
        <v>85</v>
      </c>
      <c r="AU82" t="s">
        <v>85</v>
      </c>
      <c r="AV82" t="s">
        <v>84</v>
      </c>
      <c r="AW82">
        <f t="shared" si="37"/>
        <v>3</v>
      </c>
      <c r="AX82">
        <f t="shared" si="38"/>
        <v>57.142857142857139</v>
      </c>
      <c r="AY82" t="str">
        <f t="shared" si="24"/>
        <v>Medium</v>
      </c>
      <c r="AZ82" t="s">
        <v>84</v>
      </c>
      <c r="BA82" t="s">
        <v>85</v>
      </c>
      <c r="BB82" t="s">
        <v>84</v>
      </c>
      <c r="BC82" t="s">
        <v>84</v>
      </c>
      <c r="BD82" t="s">
        <v>84</v>
      </c>
      <c r="BE82" t="s">
        <v>84</v>
      </c>
      <c r="BF82" t="s">
        <v>84</v>
      </c>
      <c r="BG82" t="s">
        <v>85</v>
      </c>
      <c r="BH82">
        <f t="shared" si="39"/>
        <v>6</v>
      </c>
      <c r="BI82">
        <f t="shared" si="40"/>
        <v>85.714285714285708</v>
      </c>
      <c r="BJ82" t="str">
        <f t="shared" si="25"/>
        <v>High</v>
      </c>
      <c r="BK82" t="s">
        <v>84</v>
      </c>
      <c r="BL82" t="s">
        <v>84</v>
      </c>
      <c r="BM82" t="s">
        <v>84</v>
      </c>
      <c r="BN82" t="s">
        <v>84</v>
      </c>
      <c r="BO82">
        <f t="shared" si="41"/>
        <v>4</v>
      </c>
      <c r="BP82">
        <f t="shared" si="42"/>
        <v>57.142857142857139</v>
      </c>
      <c r="BQ82" t="str">
        <f t="shared" si="43"/>
        <v>Medium</v>
      </c>
      <c r="BR82">
        <f t="shared" si="26"/>
        <v>51.612903225806448</v>
      </c>
      <c r="BS82">
        <f t="shared" si="27"/>
        <v>16</v>
      </c>
      <c r="BT82" t="str">
        <f t="shared" si="28"/>
        <v>Moderate</v>
      </c>
      <c r="BU82" t="s">
        <v>105</v>
      </c>
      <c r="BV82" s="13" t="s">
        <v>93</v>
      </c>
      <c r="BW82" s="9">
        <v>2021</v>
      </c>
      <c r="BX82" s="10" t="s">
        <v>109</v>
      </c>
      <c r="BY82" s="8">
        <v>0.01</v>
      </c>
      <c r="BZ82" t="s">
        <v>94</v>
      </c>
    </row>
    <row r="83" spans="1:78" x14ac:dyDescent="0.25">
      <c r="A83" t="s">
        <v>236</v>
      </c>
      <c r="B83">
        <v>58.447000000000003</v>
      </c>
      <c r="C83">
        <v>6.0522</v>
      </c>
      <c r="D83" s="8">
        <v>3000</v>
      </c>
      <c r="E83" s="8" t="str">
        <f t="shared" si="29"/>
        <v>Medium</v>
      </c>
      <c r="F83" t="s">
        <v>79</v>
      </c>
      <c r="G83" t="s">
        <v>235</v>
      </c>
      <c r="H83">
        <v>2010</v>
      </c>
      <c r="I83" t="s">
        <v>81</v>
      </c>
      <c r="J83" t="s">
        <v>91</v>
      </c>
      <c r="L83" t="s">
        <v>104</v>
      </c>
      <c r="M83" t="s">
        <v>85</v>
      </c>
      <c r="N83" t="s">
        <v>84</v>
      </c>
      <c r="O83" t="s">
        <v>85</v>
      </c>
      <c r="P83" t="s">
        <v>84</v>
      </c>
      <c r="Q83" t="s">
        <v>84</v>
      </c>
      <c r="R83" s="12" t="s">
        <v>84</v>
      </c>
      <c r="S83" s="8">
        <f t="shared" si="30"/>
        <v>4</v>
      </c>
      <c r="T83" s="8">
        <v>0</v>
      </c>
      <c r="U83" s="8">
        <f t="shared" si="31"/>
        <v>66.666666666666657</v>
      </c>
      <c r="V83" t="str">
        <f t="shared" si="32"/>
        <v>Medium</v>
      </c>
      <c r="X83" s="12" t="s">
        <v>84</v>
      </c>
      <c r="Y83" s="12" t="s">
        <v>84</v>
      </c>
      <c r="Z83" t="s">
        <v>84</v>
      </c>
      <c r="AA83" s="12" t="s">
        <v>84</v>
      </c>
      <c r="AB83" t="s">
        <v>85</v>
      </c>
      <c r="AC83" t="s">
        <v>85</v>
      </c>
      <c r="AD83">
        <f t="shared" si="33"/>
        <v>4</v>
      </c>
      <c r="AE83">
        <f t="shared" si="34"/>
        <v>57.142857142857139</v>
      </c>
      <c r="AF83" t="str">
        <f t="shared" si="22"/>
        <v>Medium</v>
      </c>
      <c r="AG83" t="s">
        <v>85</v>
      </c>
      <c r="AH83" t="s">
        <v>84</v>
      </c>
      <c r="AI83" s="12" t="s">
        <v>84</v>
      </c>
      <c r="AJ83" s="12" t="s">
        <v>84</v>
      </c>
      <c r="AK83" t="s">
        <v>84</v>
      </c>
      <c r="AL83" t="s">
        <v>84</v>
      </c>
      <c r="AM83">
        <f t="shared" si="35"/>
        <v>5</v>
      </c>
      <c r="AN83">
        <f t="shared" si="36"/>
        <v>71.428571428571431</v>
      </c>
      <c r="AO83" t="str">
        <f t="shared" si="23"/>
        <v>High</v>
      </c>
      <c r="AP83" s="12" t="s">
        <v>84</v>
      </c>
      <c r="AQ83" t="s">
        <v>85</v>
      </c>
      <c r="AR83" s="12" t="s">
        <v>84</v>
      </c>
      <c r="AS83" t="s">
        <v>84</v>
      </c>
      <c r="AT83" t="s">
        <v>85</v>
      </c>
      <c r="AU83" s="12" t="s">
        <v>84</v>
      </c>
      <c r="AV83" s="12" t="s">
        <v>84</v>
      </c>
      <c r="AW83">
        <f t="shared" si="37"/>
        <v>4</v>
      </c>
      <c r="AX83">
        <f t="shared" si="38"/>
        <v>71.428571428571431</v>
      </c>
      <c r="AY83" t="str">
        <f t="shared" si="24"/>
        <v>High</v>
      </c>
      <c r="AZ83" s="12" t="s">
        <v>84</v>
      </c>
      <c r="BA83" t="s">
        <v>85</v>
      </c>
      <c r="BB83" s="12" t="s">
        <v>84</v>
      </c>
      <c r="BC83" t="s">
        <v>84</v>
      </c>
      <c r="BD83" t="s">
        <v>84</v>
      </c>
      <c r="BE83" s="12" t="s">
        <v>84</v>
      </c>
      <c r="BF83" t="s">
        <v>85</v>
      </c>
      <c r="BG83" t="s">
        <v>85</v>
      </c>
      <c r="BH83">
        <f t="shared" si="39"/>
        <v>5</v>
      </c>
      <c r="BI83">
        <f t="shared" si="40"/>
        <v>71.428571428571431</v>
      </c>
      <c r="BJ83" t="str">
        <f t="shared" si="25"/>
        <v>High</v>
      </c>
      <c r="BK83" t="s">
        <v>84</v>
      </c>
      <c r="BL83" s="12" t="s">
        <v>84</v>
      </c>
      <c r="BM83" s="12" t="s">
        <v>84</v>
      </c>
      <c r="BN83" s="12" t="s">
        <v>84</v>
      </c>
      <c r="BO83">
        <f t="shared" si="41"/>
        <v>4</v>
      </c>
      <c r="BP83">
        <f t="shared" si="42"/>
        <v>57.142857142857139</v>
      </c>
      <c r="BQ83" t="str">
        <f t="shared" si="43"/>
        <v>Medium</v>
      </c>
      <c r="BR83">
        <f t="shared" si="26"/>
        <v>74.193548387096769</v>
      </c>
      <c r="BS83">
        <f t="shared" si="27"/>
        <v>23</v>
      </c>
      <c r="BT83" t="str">
        <f t="shared" si="28"/>
        <v>High</v>
      </c>
      <c r="BU83" t="s">
        <v>105</v>
      </c>
      <c r="BV83" s="13" t="s">
        <v>93</v>
      </c>
      <c r="BW83" s="9">
        <v>2022</v>
      </c>
      <c r="BX83" s="10" t="s">
        <v>88</v>
      </c>
      <c r="BY83" s="8">
        <v>0.1</v>
      </c>
      <c r="BZ83" t="s">
        <v>94</v>
      </c>
    </row>
    <row r="84" spans="1:78" x14ac:dyDescent="0.25">
      <c r="A84" t="s">
        <v>237</v>
      </c>
      <c r="B84">
        <v>22.7086111111111</v>
      </c>
      <c r="C84">
        <v>106.33194444444401</v>
      </c>
      <c r="D84" s="8">
        <v>3000</v>
      </c>
      <c r="E84" s="8" t="str">
        <f t="shared" si="29"/>
        <v>Medium</v>
      </c>
      <c r="F84" t="s">
        <v>96</v>
      </c>
      <c r="G84" t="s">
        <v>218</v>
      </c>
      <c r="H84">
        <v>2018</v>
      </c>
      <c r="I84" t="s">
        <v>98</v>
      </c>
      <c r="J84" t="s">
        <v>91</v>
      </c>
      <c r="L84" t="s">
        <v>83</v>
      </c>
      <c r="M84" t="s">
        <v>84</v>
      </c>
      <c r="N84" t="s">
        <v>85</v>
      </c>
      <c r="O84" t="s">
        <v>85</v>
      </c>
      <c r="P84" t="s">
        <v>84</v>
      </c>
      <c r="Q84" t="s">
        <v>84</v>
      </c>
      <c r="R84" t="s">
        <v>84</v>
      </c>
      <c r="S84" s="8">
        <f t="shared" si="30"/>
        <v>4</v>
      </c>
      <c r="T84" s="8">
        <v>0</v>
      </c>
      <c r="U84" s="8">
        <f t="shared" si="31"/>
        <v>66.666666666666657</v>
      </c>
      <c r="V84" t="str">
        <f t="shared" si="32"/>
        <v>Medium</v>
      </c>
      <c r="X84" t="s">
        <v>84</v>
      </c>
      <c r="Y84" t="s">
        <v>84</v>
      </c>
      <c r="Z84" t="s">
        <v>84</v>
      </c>
      <c r="AA84" t="s">
        <v>84</v>
      </c>
      <c r="AB84" t="s">
        <v>85</v>
      </c>
      <c r="AC84" t="s">
        <v>85</v>
      </c>
      <c r="AD84">
        <f t="shared" si="33"/>
        <v>4</v>
      </c>
      <c r="AE84">
        <f t="shared" si="34"/>
        <v>57.142857142857139</v>
      </c>
      <c r="AF84" t="str">
        <f t="shared" si="22"/>
        <v>Medium</v>
      </c>
      <c r="AG84" t="s">
        <v>84</v>
      </c>
      <c r="AH84" t="s">
        <v>84</v>
      </c>
      <c r="AI84" t="s">
        <v>85</v>
      </c>
      <c r="AJ84" t="s">
        <v>84</v>
      </c>
      <c r="AK84" t="s">
        <v>85</v>
      </c>
      <c r="AL84" t="s">
        <v>84</v>
      </c>
      <c r="AM84">
        <f t="shared" si="35"/>
        <v>4</v>
      </c>
      <c r="AN84">
        <f t="shared" si="36"/>
        <v>57.142857142857139</v>
      </c>
      <c r="AO84" t="str">
        <f t="shared" si="23"/>
        <v>Medium</v>
      </c>
      <c r="AP84" t="s">
        <v>84</v>
      </c>
      <c r="AQ84" t="s">
        <v>84</v>
      </c>
      <c r="AR84" t="s">
        <v>84</v>
      </c>
      <c r="AS84" t="s">
        <v>84</v>
      </c>
      <c r="AT84" t="s">
        <v>85</v>
      </c>
      <c r="AU84" t="s">
        <v>84</v>
      </c>
      <c r="AV84" t="s">
        <v>84</v>
      </c>
      <c r="AW84">
        <f t="shared" si="37"/>
        <v>5</v>
      </c>
      <c r="AX84">
        <f t="shared" si="38"/>
        <v>85.714285714285708</v>
      </c>
      <c r="AY84" t="str">
        <f t="shared" si="24"/>
        <v>High</v>
      </c>
      <c r="AZ84" t="s">
        <v>84</v>
      </c>
      <c r="BA84" t="s">
        <v>85</v>
      </c>
      <c r="BB84" t="s">
        <v>84</v>
      </c>
      <c r="BC84" t="s">
        <v>84</v>
      </c>
      <c r="BD84" t="s">
        <v>84</v>
      </c>
      <c r="BE84" t="s">
        <v>85</v>
      </c>
      <c r="BF84" t="s">
        <v>84</v>
      </c>
      <c r="BG84" t="s">
        <v>85</v>
      </c>
      <c r="BH84">
        <f t="shared" si="39"/>
        <v>5</v>
      </c>
      <c r="BI84">
        <f t="shared" si="40"/>
        <v>71.428571428571431</v>
      </c>
      <c r="BJ84" t="str">
        <f t="shared" si="25"/>
        <v>High</v>
      </c>
      <c r="BK84" t="s">
        <v>84</v>
      </c>
      <c r="BL84" t="s">
        <v>84</v>
      </c>
      <c r="BM84" t="s">
        <v>84</v>
      </c>
      <c r="BN84" t="s">
        <v>84</v>
      </c>
      <c r="BO84">
        <f t="shared" si="41"/>
        <v>4</v>
      </c>
      <c r="BP84">
        <f t="shared" si="42"/>
        <v>57.142857142857139</v>
      </c>
      <c r="BQ84" t="str">
        <f t="shared" si="43"/>
        <v>Medium</v>
      </c>
      <c r="BR84">
        <f t="shared" si="26"/>
        <v>74.193548387096769</v>
      </c>
      <c r="BS84">
        <f t="shared" si="27"/>
        <v>23</v>
      </c>
      <c r="BT84" t="str">
        <f t="shared" si="28"/>
        <v>High</v>
      </c>
      <c r="BU84" t="s">
        <v>92</v>
      </c>
      <c r="BV84" s="13" t="s">
        <v>93</v>
      </c>
      <c r="BW84" s="9">
        <v>2022</v>
      </c>
      <c r="BX84" s="10" t="s">
        <v>88</v>
      </c>
      <c r="BY84" s="8">
        <v>0.25</v>
      </c>
      <c r="BZ84" t="s">
        <v>94</v>
      </c>
    </row>
    <row r="85" spans="1:78" x14ac:dyDescent="0.25">
      <c r="A85" t="s">
        <v>238</v>
      </c>
      <c r="B85">
        <v>19.9436111111111</v>
      </c>
      <c r="C85">
        <v>110.210833333333</v>
      </c>
      <c r="D85" s="8">
        <v>3050</v>
      </c>
      <c r="E85" s="8" t="str">
        <f t="shared" si="29"/>
        <v>Medium</v>
      </c>
      <c r="F85" t="s">
        <v>96</v>
      </c>
      <c r="G85" t="s">
        <v>97</v>
      </c>
      <c r="H85">
        <v>2006</v>
      </c>
      <c r="I85" t="s">
        <v>81</v>
      </c>
      <c r="J85" t="s">
        <v>10</v>
      </c>
      <c r="L85" t="s">
        <v>239</v>
      </c>
      <c r="M85" t="s">
        <v>84</v>
      </c>
      <c r="N85" t="s">
        <v>85</v>
      </c>
      <c r="O85" t="s">
        <v>85</v>
      </c>
      <c r="P85" t="s">
        <v>85</v>
      </c>
      <c r="Q85" t="s">
        <v>85</v>
      </c>
      <c r="R85" t="s">
        <v>85</v>
      </c>
      <c r="S85" s="8">
        <f t="shared" si="30"/>
        <v>1</v>
      </c>
      <c r="T85" s="8">
        <v>0</v>
      </c>
      <c r="U85" s="8">
        <f t="shared" si="31"/>
        <v>16.666666666666664</v>
      </c>
      <c r="V85" t="str">
        <f t="shared" si="32"/>
        <v>Low</v>
      </c>
      <c r="X85" t="s">
        <v>85</v>
      </c>
      <c r="Y85" t="s">
        <v>85</v>
      </c>
      <c r="Z85" t="s">
        <v>84</v>
      </c>
      <c r="AA85" t="s">
        <v>85</v>
      </c>
      <c r="AB85" t="s">
        <v>84</v>
      </c>
      <c r="AC85" t="s">
        <v>85</v>
      </c>
      <c r="AD85">
        <f t="shared" si="33"/>
        <v>2</v>
      </c>
      <c r="AE85">
        <f t="shared" si="34"/>
        <v>28.571428571428569</v>
      </c>
      <c r="AF85" t="str">
        <f t="shared" si="22"/>
        <v>Low</v>
      </c>
      <c r="AG85" t="s">
        <v>85</v>
      </c>
      <c r="AH85" t="s">
        <v>84</v>
      </c>
      <c r="AI85" t="s">
        <v>84</v>
      </c>
      <c r="AJ85" t="s">
        <v>85</v>
      </c>
      <c r="AK85" t="s">
        <v>85</v>
      </c>
      <c r="AL85" t="s">
        <v>85</v>
      </c>
      <c r="AM85">
        <f t="shared" si="35"/>
        <v>2</v>
      </c>
      <c r="AN85">
        <f t="shared" si="36"/>
        <v>28.571428571428569</v>
      </c>
      <c r="AO85" t="str">
        <f t="shared" si="23"/>
        <v>Low</v>
      </c>
      <c r="AP85" t="s">
        <v>84</v>
      </c>
      <c r="AQ85" t="s">
        <v>85</v>
      </c>
      <c r="AR85" t="s">
        <v>84</v>
      </c>
      <c r="AS85" t="s">
        <v>84</v>
      </c>
      <c r="AT85" t="s">
        <v>84</v>
      </c>
      <c r="AU85" t="s">
        <v>85</v>
      </c>
      <c r="AV85" t="s">
        <v>85</v>
      </c>
      <c r="AW85">
        <f t="shared" si="37"/>
        <v>4</v>
      </c>
      <c r="AX85">
        <f t="shared" si="38"/>
        <v>57.142857142857139</v>
      </c>
      <c r="AY85" t="str">
        <f t="shared" si="24"/>
        <v>Medium</v>
      </c>
      <c r="AZ85" t="s">
        <v>84</v>
      </c>
      <c r="BA85" t="s">
        <v>85</v>
      </c>
      <c r="BB85" t="s">
        <v>84</v>
      </c>
      <c r="BC85" t="s">
        <v>85</v>
      </c>
      <c r="BD85" t="s">
        <v>84</v>
      </c>
      <c r="BE85" t="s">
        <v>85</v>
      </c>
      <c r="BF85" t="s">
        <v>84</v>
      </c>
      <c r="BG85" t="s">
        <v>85</v>
      </c>
      <c r="BH85">
        <f t="shared" si="39"/>
        <v>4</v>
      </c>
      <c r="BI85">
        <f t="shared" si="40"/>
        <v>57.142857142857139</v>
      </c>
      <c r="BJ85" t="str">
        <f t="shared" si="25"/>
        <v>Medium</v>
      </c>
      <c r="BK85" t="s">
        <v>84</v>
      </c>
      <c r="BL85" t="s">
        <v>85</v>
      </c>
      <c r="BM85" t="s">
        <v>84</v>
      </c>
      <c r="BN85" t="s">
        <v>84</v>
      </c>
      <c r="BO85">
        <f t="shared" si="41"/>
        <v>3</v>
      </c>
      <c r="BP85">
        <f t="shared" si="42"/>
        <v>42.857142857142854</v>
      </c>
      <c r="BQ85" t="str">
        <f t="shared" si="43"/>
        <v>Medium</v>
      </c>
      <c r="BR85">
        <f t="shared" si="26"/>
        <v>48.387096774193552</v>
      </c>
      <c r="BS85">
        <f t="shared" si="27"/>
        <v>15</v>
      </c>
      <c r="BT85" t="str">
        <f t="shared" si="28"/>
        <v>Moderate</v>
      </c>
      <c r="BU85" t="s">
        <v>105</v>
      </c>
      <c r="BV85" s="13" t="s">
        <v>99</v>
      </c>
      <c r="BW85" s="9">
        <v>2016</v>
      </c>
      <c r="BX85" s="10" t="s">
        <v>100</v>
      </c>
      <c r="BZ85" t="s">
        <v>101</v>
      </c>
    </row>
    <row r="86" spans="1:78" x14ac:dyDescent="0.25">
      <c r="A86" t="s">
        <v>240</v>
      </c>
      <c r="B86">
        <v>15.500746944444399</v>
      </c>
      <c r="C86">
        <v>102.831001388888</v>
      </c>
      <c r="D86" s="8">
        <v>3167</v>
      </c>
      <c r="E86" s="8" t="str">
        <f t="shared" si="29"/>
        <v>Medium</v>
      </c>
      <c r="F86" t="s">
        <v>96</v>
      </c>
      <c r="G86" t="s">
        <v>241</v>
      </c>
      <c r="H86">
        <v>2023</v>
      </c>
      <c r="I86" t="s">
        <v>98</v>
      </c>
      <c r="J86" t="s">
        <v>10</v>
      </c>
      <c r="K86" t="s">
        <v>242</v>
      </c>
      <c r="L86" t="s">
        <v>83</v>
      </c>
      <c r="M86" t="s">
        <v>85</v>
      </c>
      <c r="N86" t="s">
        <v>85</v>
      </c>
      <c r="O86" t="s">
        <v>85</v>
      </c>
      <c r="P86" t="s">
        <v>84</v>
      </c>
      <c r="Q86" t="s">
        <v>84</v>
      </c>
      <c r="R86" t="s">
        <v>85</v>
      </c>
      <c r="S86" s="8">
        <f t="shared" si="30"/>
        <v>2</v>
      </c>
      <c r="T86" s="8">
        <v>0</v>
      </c>
      <c r="U86" s="8">
        <f t="shared" si="31"/>
        <v>33.333333333333329</v>
      </c>
      <c r="V86" t="str">
        <f t="shared" si="32"/>
        <v>Medium</v>
      </c>
      <c r="X86" t="s">
        <v>84</v>
      </c>
      <c r="Y86" t="s">
        <v>84</v>
      </c>
      <c r="Z86" t="s">
        <v>84</v>
      </c>
      <c r="AA86" t="s">
        <v>85</v>
      </c>
      <c r="AB86" t="s">
        <v>85</v>
      </c>
      <c r="AC86" t="s">
        <v>84</v>
      </c>
      <c r="AD86">
        <f t="shared" si="33"/>
        <v>4</v>
      </c>
      <c r="AE86">
        <f t="shared" si="34"/>
        <v>57.142857142857139</v>
      </c>
      <c r="AF86" t="str">
        <f t="shared" si="22"/>
        <v>Medium</v>
      </c>
      <c r="AG86" t="s">
        <v>85</v>
      </c>
      <c r="AH86" t="s">
        <v>85</v>
      </c>
      <c r="AI86" t="s">
        <v>84</v>
      </c>
      <c r="AJ86" t="s">
        <v>84</v>
      </c>
      <c r="AK86" t="s">
        <v>84</v>
      </c>
      <c r="AL86" t="s">
        <v>85</v>
      </c>
      <c r="AM86">
        <f t="shared" si="35"/>
        <v>3</v>
      </c>
      <c r="AN86">
        <f t="shared" si="36"/>
        <v>42.857142857142854</v>
      </c>
      <c r="AO86" t="str">
        <f t="shared" si="23"/>
        <v>Medium</v>
      </c>
      <c r="AP86" t="s">
        <v>85</v>
      </c>
      <c r="AQ86" t="s">
        <v>84</v>
      </c>
      <c r="AR86" t="s">
        <v>84</v>
      </c>
      <c r="AS86" t="s">
        <v>85</v>
      </c>
      <c r="AT86" t="s">
        <v>85</v>
      </c>
      <c r="AU86" t="s">
        <v>85</v>
      </c>
      <c r="AV86" t="s">
        <v>84</v>
      </c>
      <c r="AW86">
        <f t="shared" si="37"/>
        <v>2</v>
      </c>
      <c r="AX86">
        <f t="shared" si="38"/>
        <v>42.857142857142854</v>
      </c>
      <c r="AY86" t="str">
        <f t="shared" si="24"/>
        <v>Medium</v>
      </c>
      <c r="AZ86" t="s">
        <v>84</v>
      </c>
      <c r="BA86" t="s">
        <v>84</v>
      </c>
      <c r="BB86" t="s">
        <v>85</v>
      </c>
      <c r="BC86" t="s">
        <v>84</v>
      </c>
      <c r="BD86" t="s">
        <v>84</v>
      </c>
      <c r="BE86" t="s">
        <v>84</v>
      </c>
      <c r="BF86" t="s">
        <v>84</v>
      </c>
      <c r="BG86" t="s">
        <v>85</v>
      </c>
      <c r="BH86">
        <f t="shared" si="39"/>
        <v>6</v>
      </c>
      <c r="BI86">
        <f t="shared" si="40"/>
        <v>85.714285714285708</v>
      </c>
      <c r="BJ86" t="str">
        <f t="shared" si="25"/>
        <v>High</v>
      </c>
      <c r="BK86" t="s">
        <v>84</v>
      </c>
      <c r="BL86" t="s">
        <v>84</v>
      </c>
      <c r="BM86" t="s">
        <v>84</v>
      </c>
      <c r="BN86" t="s">
        <v>84</v>
      </c>
      <c r="BO86">
        <f t="shared" si="41"/>
        <v>4</v>
      </c>
      <c r="BP86">
        <f t="shared" si="42"/>
        <v>57.142857142857139</v>
      </c>
      <c r="BQ86" t="str">
        <f t="shared" si="43"/>
        <v>Medium</v>
      </c>
      <c r="BR86">
        <f t="shared" si="26"/>
        <v>64.516129032258064</v>
      </c>
      <c r="BS86">
        <f t="shared" si="27"/>
        <v>20</v>
      </c>
      <c r="BT86" t="str">
        <f t="shared" si="28"/>
        <v>Moderate</v>
      </c>
      <c r="BU86" t="s">
        <v>92</v>
      </c>
      <c r="BV86" s="13" t="s">
        <v>99</v>
      </c>
      <c r="BX86" s="10" t="s">
        <v>115</v>
      </c>
      <c r="BY86" s="8">
        <v>0.05</v>
      </c>
      <c r="BZ86" t="s">
        <v>94</v>
      </c>
    </row>
    <row r="87" spans="1:78" x14ac:dyDescent="0.25">
      <c r="A87" t="s">
        <v>243</v>
      </c>
      <c r="B87">
        <v>46.976388888888799</v>
      </c>
      <c r="C87">
        <v>17.928611111111099</v>
      </c>
      <c r="D87" s="8">
        <v>3244</v>
      </c>
      <c r="E87" s="8" t="str">
        <f t="shared" si="29"/>
        <v>Medium</v>
      </c>
      <c r="F87" t="s">
        <v>79</v>
      </c>
      <c r="G87" t="s">
        <v>244</v>
      </c>
      <c r="H87">
        <v>2012</v>
      </c>
      <c r="I87" t="s">
        <v>103</v>
      </c>
      <c r="J87" t="s">
        <v>91</v>
      </c>
      <c r="L87" t="s">
        <v>83</v>
      </c>
      <c r="M87" t="s">
        <v>84</v>
      </c>
      <c r="N87" t="s">
        <v>84</v>
      </c>
      <c r="O87" t="s">
        <v>84</v>
      </c>
      <c r="P87" t="s">
        <v>84</v>
      </c>
      <c r="Q87" t="s">
        <v>84</v>
      </c>
      <c r="R87" t="s">
        <v>84</v>
      </c>
      <c r="S87" s="8">
        <f t="shared" si="30"/>
        <v>6</v>
      </c>
      <c r="T87" s="8">
        <v>0</v>
      </c>
      <c r="U87" s="8">
        <f t="shared" si="31"/>
        <v>100</v>
      </c>
      <c r="V87" t="str">
        <f t="shared" si="32"/>
        <v>High</v>
      </c>
      <c r="X87" t="s">
        <v>84</v>
      </c>
      <c r="Y87" t="s">
        <v>85</v>
      </c>
      <c r="Z87" t="s">
        <v>84</v>
      </c>
      <c r="AA87" t="s">
        <v>84</v>
      </c>
      <c r="AB87" t="s">
        <v>85</v>
      </c>
      <c r="AC87" t="s">
        <v>84</v>
      </c>
      <c r="AD87">
        <f t="shared" si="33"/>
        <v>4</v>
      </c>
      <c r="AE87">
        <f t="shared" si="34"/>
        <v>57.142857142857139</v>
      </c>
      <c r="AF87" t="str">
        <f t="shared" si="22"/>
        <v>Medium</v>
      </c>
      <c r="AG87" t="s">
        <v>84</v>
      </c>
      <c r="AH87" t="s">
        <v>84</v>
      </c>
      <c r="AI87" t="s">
        <v>85</v>
      </c>
      <c r="AJ87" t="s">
        <v>84</v>
      </c>
      <c r="AK87" t="s">
        <v>84</v>
      </c>
      <c r="AL87" t="s">
        <v>84</v>
      </c>
      <c r="AM87">
        <f t="shared" si="35"/>
        <v>5</v>
      </c>
      <c r="AN87">
        <f t="shared" si="36"/>
        <v>71.428571428571431</v>
      </c>
      <c r="AO87" t="str">
        <f t="shared" si="23"/>
        <v>High</v>
      </c>
      <c r="AP87" t="s">
        <v>84</v>
      </c>
      <c r="AQ87" t="s">
        <v>84</v>
      </c>
      <c r="AR87" t="s">
        <v>84</v>
      </c>
      <c r="AS87" t="s">
        <v>84</v>
      </c>
      <c r="AT87" t="s">
        <v>85</v>
      </c>
      <c r="AU87" t="s">
        <v>84</v>
      </c>
      <c r="AV87" t="s">
        <v>85</v>
      </c>
      <c r="AW87">
        <f t="shared" si="37"/>
        <v>5</v>
      </c>
      <c r="AX87">
        <f t="shared" si="38"/>
        <v>71.428571428571431</v>
      </c>
      <c r="AY87" t="str">
        <f t="shared" si="24"/>
        <v>High</v>
      </c>
      <c r="AZ87" t="s">
        <v>84</v>
      </c>
      <c r="BA87" t="s">
        <v>84</v>
      </c>
      <c r="BB87" t="s">
        <v>84</v>
      </c>
      <c r="BC87" t="s">
        <v>84</v>
      </c>
      <c r="BD87" t="s">
        <v>84</v>
      </c>
      <c r="BE87" t="s">
        <v>84</v>
      </c>
      <c r="BF87" t="s">
        <v>84</v>
      </c>
      <c r="BG87" t="s">
        <v>85</v>
      </c>
      <c r="BH87">
        <f t="shared" si="39"/>
        <v>7</v>
      </c>
      <c r="BI87">
        <f t="shared" si="40"/>
        <v>100</v>
      </c>
      <c r="BJ87" t="str">
        <f t="shared" si="25"/>
        <v>High</v>
      </c>
      <c r="BK87" t="s">
        <v>84</v>
      </c>
      <c r="BL87" t="s">
        <v>84</v>
      </c>
      <c r="BM87" t="s">
        <v>85</v>
      </c>
      <c r="BN87" t="s">
        <v>84</v>
      </c>
      <c r="BO87">
        <f t="shared" si="41"/>
        <v>3</v>
      </c>
      <c r="BP87">
        <f t="shared" si="42"/>
        <v>42.857142857142854</v>
      </c>
      <c r="BQ87" t="str">
        <f t="shared" si="43"/>
        <v>Medium</v>
      </c>
      <c r="BR87">
        <f t="shared" si="26"/>
        <v>77.41935483870968</v>
      </c>
      <c r="BS87">
        <f t="shared" si="27"/>
        <v>24</v>
      </c>
      <c r="BT87" t="str">
        <f t="shared" si="28"/>
        <v>High</v>
      </c>
      <c r="BU87" t="s">
        <v>92</v>
      </c>
      <c r="BV87" s="13" t="s">
        <v>93</v>
      </c>
      <c r="BW87" s="9">
        <v>2021</v>
      </c>
      <c r="BX87" s="10" t="s">
        <v>109</v>
      </c>
      <c r="BZ87" t="s">
        <v>101</v>
      </c>
    </row>
    <row r="88" spans="1:78" x14ac:dyDescent="0.25">
      <c r="A88" t="s">
        <v>245</v>
      </c>
      <c r="B88">
        <v>-7.229444</v>
      </c>
      <c r="C88">
        <v>-39.408889000000002</v>
      </c>
      <c r="D88" s="8">
        <v>3441</v>
      </c>
      <c r="E88" s="8" t="str">
        <f t="shared" si="29"/>
        <v>Medium</v>
      </c>
      <c r="F88" t="s">
        <v>130</v>
      </c>
      <c r="G88" t="s">
        <v>229</v>
      </c>
      <c r="H88">
        <v>2006</v>
      </c>
      <c r="I88" t="s">
        <v>81</v>
      </c>
      <c r="J88" t="s">
        <v>91</v>
      </c>
      <c r="L88" t="s">
        <v>104</v>
      </c>
      <c r="M88" t="s">
        <v>84</v>
      </c>
      <c r="N88" t="s">
        <v>85</v>
      </c>
      <c r="O88" t="s">
        <v>85</v>
      </c>
      <c r="P88" t="s">
        <v>84</v>
      </c>
      <c r="Q88" t="s">
        <v>84</v>
      </c>
      <c r="R88" t="s">
        <v>84</v>
      </c>
      <c r="S88" s="8">
        <f t="shared" si="30"/>
        <v>4</v>
      </c>
      <c r="T88" s="8">
        <v>0</v>
      </c>
      <c r="U88" s="8">
        <f t="shared" si="31"/>
        <v>66.666666666666657</v>
      </c>
      <c r="V88" t="str">
        <f t="shared" si="32"/>
        <v>Medium</v>
      </c>
      <c r="X88" t="s">
        <v>84</v>
      </c>
      <c r="Y88" t="s">
        <v>84</v>
      </c>
      <c r="Z88" t="s">
        <v>84</v>
      </c>
      <c r="AA88" t="s">
        <v>84</v>
      </c>
      <c r="AB88" t="s">
        <v>84</v>
      </c>
      <c r="AC88" t="s">
        <v>84</v>
      </c>
      <c r="AD88">
        <f t="shared" si="33"/>
        <v>6</v>
      </c>
      <c r="AE88">
        <f t="shared" si="34"/>
        <v>85.714285714285708</v>
      </c>
      <c r="AF88" t="str">
        <f t="shared" si="22"/>
        <v>High</v>
      </c>
      <c r="AG88" t="s">
        <v>84</v>
      </c>
      <c r="AH88" t="s">
        <v>85</v>
      </c>
      <c r="AI88" t="s">
        <v>85</v>
      </c>
      <c r="AJ88" t="s">
        <v>85</v>
      </c>
      <c r="AK88" t="s">
        <v>84</v>
      </c>
      <c r="AL88" t="s">
        <v>84</v>
      </c>
      <c r="AM88">
        <f t="shared" si="35"/>
        <v>3</v>
      </c>
      <c r="AN88">
        <f t="shared" si="36"/>
        <v>42.857142857142854</v>
      </c>
      <c r="AO88" t="str">
        <f t="shared" si="23"/>
        <v>Medium</v>
      </c>
      <c r="AP88" t="s">
        <v>84</v>
      </c>
      <c r="AQ88" t="s">
        <v>84</v>
      </c>
      <c r="AR88" t="s">
        <v>84</v>
      </c>
      <c r="AS88" t="s">
        <v>84</v>
      </c>
      <c r="AT88" t="s">
        <v>85</v>
      </c>
      <c r="AU88" t="s">
        <v>84</v>
      </c>
      <c r="AV88" t="s">
        <v>85</v>
      </c>
      <c r="AW88">
        <f t="shared" si="37"/>
        <v>5</v>
      </c>
      <c r="AX88">
        <f t="shared" si="38"/>
        <v>71.428571428571431</v>
      </c>
      <c r="AY88" t="str">
        <f t="shared" si="24"/>
        <v>High</v>
      </c>
      <c r="AZ88" t="s">
        <v>84</v>
      </c>
      <c r="BA88" t="s">
        <v>84</v>
      </c>
      <c r="BB88" t="s">
        <v>84</v>
      </c>
      <c r="BC88" t="s">
        <v>85</v>
      </c>
      <c r="BD88" t="s">
        <v>84</v>
      </c>
      <c r="BE88" t="s">
        <v>85</v>
      </c>
      <c r="BF88" t="s">
        <v>85</v>
      </c>
      <c r="BG88" t="s">
        <v>85</v>
      </c>
      <c r="BH88">
        <f t="shared" si="39"/>
        <v>4</v>
      </c>
      <c r="BI88">
        <f t="shared" si="40"/>
        <v>57.142857142857139</v>
      </c>
      <c r="BJ88" t="str">
        <f t="shared" si="25"/>
        <v>Medium</v>
      </c>
      <c r="BK88" t="s">
        <v>85</v>
      </c>
      <c r="BL88" t="s">
        <v>84</v>
      </c>
      <c r="BM88" t="s">
        <v>84</v>
      </c>
      <c r="BN88" t="s">
        <v>85</v>
      </c>
      <c r="BO88">
        <f t="shared" si="41"/>
        <v>2</v>
      </c>
      <c r="BP88">
        <f t="shared" si="42"/>
        <v>28.571428571428569</v>
      </c>
      <c r="BQ88" t="str">
        <f t="shared" si="43"/>
        <v>Low</v>
      </c>
      <c r="BR88">
        <f t="shared" si="26"/>
        <v>64.516129032258064</v>
      </c>
      <c r="BS88">
        <f t="shared" si="27"/>
        <v>20</v>
      </c>
      <c r="BT88" t="str">
        <f t="shared" si="28"/>
        <v>Moderate</v>
      </c>
      <c r="BU88" t="s">
        <v>92</v>
      </c>
      <c r="BV88" s="13" t="s">
        <v>93</v>
      </c>
      <c r="BW88" s="9">
        <v>2023</v>
      </c>
      <c r="BX88" s="10" t="s">
        <v>88</v>
      </c>
      <c r="BY88" s="8">
        <v>0.05</v>
      </c>
      <c r="BZ88" t="s">
        <v>94</v>
      </c>
    </row>
    <row r="89" spans="1:78" x14ac:dyDescent="0.25">
      <c r="A89" t="s">
        <v>246</v>
      </c>
      <c r="B89">
        <v>-33.278888888888801</v>
      </c>
      <c r="C89">
        <v>-57.145555555555497</v>
      </c>
      <c r="D89" s="8">
        <v>3611</v>
      </c>
      <c r="E89" s="8" t="str">
        <f t="shared" si="29"/>
        <v>Medium</v>
      </c>
      <c r="F89" t="s">
        <v>130</v>
      </c>
      <c r="G89" t="s">
        <v>247</v>
      </c>
      <c r="H89">
        <v>2013</v>
      </c>
      <c r="I89" t="s">
        <v>103</v>
      </c>
      <c r="J89" t="s">
        <v>82</v>
      </c>
      <c r="L89" t="s">
        <v>104</v>
      </c>
      <c r="M89" t="s">
        <v>85</v>
      </c>
      <c r="N89" t="s">
        <v>85</v>
      </c>
      <c r="O89" t="s">
        <v>85</v>
      </c>
      <c r="P89" t="s">
        <v>85</v>
      </c>
      <c r="Q89" t="s">
        <v>84</v>
      </c>
      <c r="R89" t="s">
        <v>85</v>
      </c>
      <c r="S89" s="8">
        <f t="shared" si="30"/>
        <v>1</v>
      </c>
      <c r="T89" s="8">
        <v>0</v>
      </c>
      <c r="U89" s="8">
        <f t="shared" si="31"/>
        <v>16.666666666666664</v>
      </c>
      <c r="V89" t="str">
        <f t="shared" si="32"/>
        <v>Low</v>
      </c>
      <c r="W89" t="s">
        <v>248</v>
      </c>
      <c r="X89" t="s">
        <v>84</v>
      </c>
      <c r="Y89" t="s">
        <v>85</v>
      </c>
      <c r="Z89" t="s">
        <v>84</v>
      </c>
      <c r="AA89" t="s">
        <v>84</v>
      </c>
      <c r="AB89" t="s">
        <v>85</v>
      </c>
      <c r="AC89" t="s">
        <v>85</v>
      </c>
      <c r="AD89">
        <f t="shared" si="33"/>
        <v>3</v>
      </c>
      <c r="AE89">
        <f t="shared" si="34"/>
        <v>42.857142857142854</v>
      </c>
      <c r="AF89" t="str">
        <f t="shared" si="22"/>
        <v>Medium</v>
      </c>
      <c r="AG89" t="s">
        <v>84</v>
      </c>
      <c r="AH89" t="s">
        <v>85</v>
      </c>
      <c r="AI89" t="s">
        <v>85</v>
      </c>
      <c r="AJ89" t="s">
        <v>85</v>
      </c>
      <c r="AK89" t="s">
        <v>84</v>
      </c>
      <c r="AL89" t="s">
        <v>84</v>
      </c>
      <c r="AM89">
        <f t="shared" si="35"/>
        <v>3</v>
      </c>
      <c r="AN89">
        <f t="shared" si="36"/>
        <v>42.857142857142854</v>
      </c>
      <c r="AO89" t="str">
        <f t="shared" si="23"/>
        <v>Medium</v>
      </c>
      <c r="AP89" t="s">
        <v>85</v>
      </c>
      <c r="AQ89" t="s">
        <v>85</v>
      </c>
      <c r="AR89" t="s">
        <v>84</v>
      </c>
      <c r="AS89" t="s">
        <v>84</v>
      </c>
      <c r="AT89" t="s">
        <v>85</v>
      </c>
      <c r="AU89" t="s">
        <v>85</v>
      </c>
      <c r="AV89" t="s">
        <v>84</v>
      </c>
      <c r="AW89">
        <f t="shared" si="37"/>
        <v>2</v>
      </c>
      <c r="AX89">
        <f t="shared" si="38"/>
        <v>42.857142857142854</v>
      </c>
      <c r="AY89" t="str">
        <f t="shared" si="24"/>
        <v>Medium</v>
      </c>
      <c r="AZ89" t="s">
        <v>85</v>
      </c>
      <c r="BA89" t="s">
        <v>85</v>
      </c>
      <c r="BB89" t="s">
        <v>84</v>
      </c>
      <c r="BC89" t="s">
        <v>85</v>
      </c>
      <c r="BD89" t="s">
        <v>84</v>
      </c>
      <c r="BE89" t="s">
        <v>85</v>
      </c>
      <c r="BF89" t="s">
        <v>84</v>
      </c>
      <c r="BG89" t="s">
        <v>85</v>
      </c>
      <c r="BH89">
        <f t="shared" si="39"/>
        <v>3</v>
      </c>
      <c r="BI89">
        <f t="shared" si="40"/>
        <v>42.857142857142854</v>
      </c>
      <c r="BJ89" t="str">
        <f t="shared" si="25"/>
        <v>Medium</v>
      </c>
      <c r="BK89" t="s">
        <v>84</v>
      </c>
      <c r="BL89" t="s">
        <v>85</v>
      </c>
      <c r="BM89" t="s">
        <v>84</v>
      </c>
      <c r="BN89" t="s">
        <v>85</v>
      </c>
      <c r="BO89">
        <f t="shared" si="41"/>
        <v>2</v>
      </c>
      <c r="BP89">
        <f t="shared" si="42"/>
        <v>28.571428571428569</v>
      </c>
      <c r="BQ89" t="str">
        <f t="shared" si="43"/>
        <v>Low</v>
      </c>
      <c r="BR89">
        <f t="shared" si="26"/>
        <v>45.161290322580641</v>
      </c>
      <c r="BS89">
        <f t="shared" si="27"/>
        <v>14</v>
      </c>
      <c r="BT89" t="str">
        <f t="shared" si="28"/>
        <v>Moderate</v>
      </c>
      <c r="BU89" t="s">
        <v>92</v>
      </c>
      <c r="BV89" s="13" t="s">
        <v>99</v>
      </c>
      <c r="BW89" s="9">
        <v>2022</v>
      </c>
      <c r="BX89" s="10" t="s">
        <v>88</v>
      </c>
      <c r="BZ89" t="s">
        <v>101</v>
      </c>
    </row>
    <row r="90" spans="1:78" x14ac:dyDescent="0.25">
      <c r="A90" t="s">
        <v>249</v>
      </c>
      <c r="B90">
        <v>58.433333333333302</v>
      </c>
      <c r="C90">
        <v>13.6963888888888</v>
      </c>
      <c r="D90" s="8">
        <v>3690</v>
      </c>
      <c r="E90" s="8" t="str">
        <f t="shared" si="29"/>
        <v>Medium</v>
      </c>
      <c r="F90" t="s">
        <v>79</v>
      </c>
      <c r="G90" t="s">
        <v>250</v>
      </c>
      <c r="H90">
        <v>2022</v>
      </c>
      <c r="I90" t="s">
        <v>98</v>
      </c>
      <c r="J90" t="s">
        <v>82</v>
      </c>
      <c r="L90" t="s">
        <v>83</v>
      </c>
      <c r="M90" t="s">
        <v>84</v>
      </c>
      <c r="N90" t="s">
        <v>85</v>
      </c>
      <c r="O90" t="s">
        <v>85</v>
      </c>
      <c r="P90" t="s">
        <v>84</v>
      </c>
      <c r="Q90" t="s">
        <v>84</v>
      </c>
      <c r="R90" t="s">
        <v>84</v>
      </c>
      <c r="S90" s="8">
        <f t="shared" si="30"/>
        <v>4</v>
      </c>
      <c r="T90" s="8">
        <v>0</v>
      </c>
      <c r="U90" s="8">
        <f t="shared" si="31"/>
        <v>66.666666666666657</v>
      </c>
      <c r="V90" t="str">
        <f t="shared" si="32"/>
        <v>Medium</v>
      </c>
      <c r="X90" t="s">
        <v>85</v>
      </c>
      <c r="Y90" t="s">
        <v>85</v>
      </c>
      <c r="Z90" t="s">
        <v>85</v>
      </c>
      <c r="AA90" t="s">
        <v>84</v>
      </c>
      <c r="AB90" t="s">
        <v>85</v>
      </c>
      <c r="AC90" t="s">
        <v>85</v>
      </c>
      <c r="AD90">
        <f t="shared" si="33"/>
        <v>1</v>
      </c>
      <c r="AE90">
        <f t="shared" si="34"/>
        <v>14.285714285714285</v>
      </c>
      <c r="AF90" t="str">
        <f t="shared" si="22"/>
        <v>Low</v>
      </c>
      <c r="AG90" t="s">
        <v>85</v>
      </c>
      <c r="AH90" t="s">
        <v>85</v>
      </c>
      <c r="AI90" t="s">
        <v>85</v>
      </c>
      <c r="AJ90" t="s">
        <v>84</v>
      </c>
      <c r="AK90" t="s">
        <v>85</v>
      </c>
      <c r="AL90" t="s">
        <v>84</v>
      </c>
      <c r="AM90">
        <f t="shared" si="35"/>
        <v>2</v>
      </c>
      <c r="AN90">
        <f t="shared" si="36"/>
        <v>28.571428571428569</v>
      </c>
      <c r="AO90" t="str">
        <f t="shared" si="23"/>
        <v>Low</v>
      </c>
      <c r="AP90" t="s">
        <v>85</v>
      </c>
      <c r="AQ90" t="s">
        <v>85</v>
      </c>
      <c r="AR90" t="s">
        <v>84</v>
      </c>
      <c r="AS90" t="s">
        <v>84</v>
      </c>
      <c r="AT90" t="s">
        <v>85</v>
      </c>
      <c r="AU90" t="s">
        <v>84</v>
      </c>
      <c r="AV90" t="s">
        <v>85</v>
      </c>
      <c r="AW90">
        <f t="shared" si="37"/>
        <v>3</v>
      </c>
      <c r="AX90">
        <f t="shared" si="38"/>
        <v>42.857142857142854</v>
      </c>
      <c r="AY90" t="str">
        <f t="shared" si="24"/>
        <v>Medium</v>
      </c>
      <c r="AZ90" t="s">
        <v>84</v>
      </c>
      <c r="BA90" t="s">
        <v>85</v>
      </c>
      <c r="BB90" t="s">
        <v>85</v>
      </c>
      <c r="BC90" t="s">
        <v>84</v>
      </c>
      <c r="BD90" t="s">
        <v>84</v>
      </c>
      <c r="BE90" t="s">
        <v>85</v>
      </c>
      <c r="BF90" t="s">
        <v>85</v>
      </c>
      <c r="BG90" t="s">
        <v>85</v>
      </c>
      <c r="BH90">
        <f t="shared" si="39"/>
        <v>3</v>
      </c>
      <c r="BI90">
        <f t="shared" si="40"/>
        <v>42.857142857142854</v>
      </c>
      <c r="BJ90" t="str">
        <f t="shared" si="25"/>
        <v>Medium</v>
      </c>
      <c r="BK90" t="s">
        <v>85</v>
      </c>
      <c r="BL90" t="s">
        <v>85</v>
      </c>
      <c r="BM90" t="s">
        <v>84</v>
      </c>
      <c r="BN90" t="s">
        <v>85</v>
      </c>
      <c r="BO90">
        <f t="shared" si="41"/>
        <v>1</v>
      </c>
      <c r="BP90">
        <f t="shared" si="42"/>
        <v>14.285714285714285</v>
      </c>
      <c r="BQ90" t="str">
        <f t="shared" si="43"/>
        <v>Low</v>
      </c>
      <c r="BR90">
        <f t="shared" si="26"/>
        <v>32.258064516129032</v>
      </c>
      <c r="BS90">
        <f t="shared" si="27"/>
        <v>10</v>
      </c>
      <c r="BT90" t="str">
        <f t="shared" si="28"/>
        <v>Low</v>
      </c>
      <c r="BU90" t="s">
        <v>105</v>
      </c>
      <c r="BV90" s="13" t="s">
        <v>114</v>
      </c>
      <c r="BX90" s="10" t="s">
        <v>115</v>
      </c>
      <c r="BZ90" t="s">
        <v>101</v>
      </c>
    </row>
    <row r="91" spans="1:78" x14ac:dyDescent="0.25">
      <c r="A91" t="s">
        <v>251</v>
      </c>
      <c r="B91">
        <v>60.987499999999997</v>
      </c>
      <c r="C91">
        <v>25.6175</v>
      </c>
      <c r="D91" s="8">
        <v>4506</v>
      </c>
      <c r="E91" s="8" t="str">
        <f t="shared" si="29"/>
        <v>Medium</v>
      </c>
      <c r="F91" t="s">
        <v>79</v>
      </c>
      <c r="G91" t="s">
        <v>188</v>
      </c>
      <c r="H91">
        <v>2022</v>
      </c>
      <c r="I91" t="s">
        <v>98</v>
      </c>
      <c r="J91" t="s">
        <v>82</v>
      </c>
      <c r="L91" t="s">
        <v>121</v>
      </c>
      <c r="M91" t="s">
        <v>85</v>
      </c>
      <c r="N91" t="s">
        <v>85</v>
      </c>
      <c r="O91" t="s">
        <v>85</v>
      </c>
      <c r="P91" t="s">
        <v>85</v>
      </c>
      <c r="Q91" t="s">
        <v>84</v>
      </c>
      <c r="R91" t="s">
        <v>85</v>
      </c>
      <c r="S91" s="8">
        <f t="shared" si="30"/>
        <v>1</v>
      </c>
      <c r="T91" s="8">
        <v>0</v>
      </c>
      <c r="U91" s="8">
        <f t="shared" si="31"/>
        <v>16.666666666666664</v>
      </c>
      <c r="V91" t="str">
        <f t="shared" si="32"/>
        <v>Low</v>
      </c>
      <c r="X91" t="s">
        <v>86</v>
      </c>
      <c r="Y91" t="s">
        <v>86</v>
      </c>
      <c r="Z91" t="s">
        <v>86</v>
      </c>
      <c r="AA91" t="s">
        <v>86</v>
      </c>
      <c r="AB91" t="s">
        <v>86</v>
      </c>
      <c r="AC91" t="s">
        <v>86</v>
      </c>
      <c r="AD91">
        <f t="shared" si="33"/>
        <v>0</v>
      </c>
      <c r="AE91">
        <f t="shared" si="34"/>
        <v>0</v>
      </c>
      <c r="AF91" t="s">
        <v>86</v>
      </c>
      <c r="AG91" t="s">
        <v>86</v>
      </c>
      <c r="AH91" t="s">
        <v>86</v>
      </c>
      <c r="AI91" t="s">
        <v>86</v>
      </c>
      <c r="AJ91" t="s">
        <v>86</v>
      </c>
      <c r="AK91" t="s">
        <v>86</v>
      </c>
      <c r="AL91" t="s">
        <v>86</v>
      </c>
      <c r="AM91">
        <f t="shared" si="35"/>
        <v>0</v>
      </c>
      <c r="AN91">
        <f t="shared" si="36"/>
        <v>0</v>
      </c>
      <c r="AO91" t="s">
        <v>86</v>
      </c>
      <c r="AP91" t="s">
        <v>86</v>
      </c>
      <c r="AQ91" t="s">
        <v>86</v>
      </c>
      <c r="AR91" t="s">
        <v>86</v>
      </c>
      <c r="AS91" t="s">
        <v>86</v>
      </c>
      <c r="AT91" t="s">
        <v>86</v>
      </c>
      <c r="AU91" t="s">
        <v>86</v>
      </c>
      <c r="AV91" t="s">
        <v>86</v>
      </c>
      <c r="AW91">
        <f t="shared" si="37"/>
        <v>0</v>
      </c>
      <c r="AX91">
        <f t="shared" si="38"/>
        <v>0</v>
      </c>
      <c r="AY91" t="s">
        <v>86</v>
      </c>
      <c r="AZ91" t="s">
        <v>86</v>
      </c>
      <c r="BA91" t="s">
        <v>86</v>
      </c>
      <c r="BB91" t="s">
        <v>86</v>
      </c>
      <c r="BC91" t="s">
        <v>86</v>
      </c>
      <c r="BD91" t="s">
        <v>86</v>
      </c>
      <c r="BE91" t="s">
        <v>86</v>
      </c>
      <c r="BF91" t="s">
        <v>86</v>
      </c>
      <c r="BG91" t="s">
        <v>86</v>
      </c>
      <c r="BH91">
        <f t="shared" si="39"/>
        <v>0</v>
      </c>
      <c r="BI91">
        <f t="shared" si="40"/>
        <v>0</v>
      </c>
      <c r="BJ91" t="s">
        <v>86</v>
      </c>
      <c r="BK91" t="s">
        <v>86</v>
      </c>
      <c r="BL91" t="s">
        <v>86</v>
      </c>
      <c r="BM91" t="s">
        <v>86</v>
      </c>
      <c r="BN91" t="s">
        <v>86</v>
      </c>
      <c r="BO91">
        <f t="shared" si="41"/>
        <v>0</v>
      </c>
      <c r="BP91">
        <f t="shared" si="42"/>
        <v>0</v>
      </c>
      <c r="BQ91" t="str">
        <f t="shared" si="43"/>
        <v>Low</v>
      </c>
      <c r="BR91" t="s">
        <v>86</v>
      </c>
      <c r="BS91" t="s">
        <v>86</v>
      </c>
      <c r="BT91" t="s">
        <v>86</v>
      </c>
      <c r="BU91" t="s">
        <v>87</v>
      </c>
      <c r="BV91" t="s">
        <v>87</v>
      </c>
      <c r="BX91" s="10" t="s">
        <v>115</v>
      </c>
      <c r="BY91" s="8"/>
      <c r="BZ91" t="s">
        <v>87</v>
      </c>
    </row>
    <row r="92" spans="1:78" x14ac:dyDescent="0.25">
      <c r="A92" t="s">
        <v>252</v>
      </c>
      <c r="B92">
        <v>39.8044444444444</v>
      </c>
      <c r="C92">
        <v>-7.4927777777777704</v>
      </c>
      <c r="D92" s="8">
        <v>4624.3999999999996</v>
      </c>
      <c r="E92" s="8" t="str">
        <f t="shared" si="29"/>
        <v>Medium</v>
      </c>
      <c r="F92" t="s">
        <v>79</v>
      </c>
      <c r="G92" t="s">
        <v>144</v>
      </c>
      <c r="H92">
        <v>2006</v>
      </c>
      <c r="I92" t="s">
        <v>81</v>
      </c>
      <c r="J92" t="s">
        <v>91</v>
      </c>
      <c r="L92" t="s">
        <v>83</v>
      </c>
      <c r="M92" t="s">
        <v>84</v>
      </c>
      <c r="N92" t="s">
        <v>84</v>
      </c>
      <c r="O92" t="s">
        <v>85</v>
      </c>
      <c r="P92" t="s">
        <v>84</v>
      </c>
      <c r="Q92" t="s">
        <v>84</v>
      </c>
      <c r="R92" t="s">
        <v>85</v>
      </c>
      <c r="S92" s="8">
        <f t="shared" si="30"/>
        <v>4</v>
      </c>
      <c r="T92" s="8">
        <v>0</v>
      </c>
      <c r="U92" s="8">
        <f t="shared" si="31"/>
        <v>66.666666666666657</v>
      </c>
      <c r="V92" t="str">
        <f t="shared" si="32"/>
        <v>Medium</v>
      </c>
      <c r="X92" t="s">
        <v>84</v>
      </c>
      <c r="Y92" t="s">
        <v>84</v>
      </c>
      <c r="Z92" t="s">
        <v>84</v>
      </c>
      <c r="AA92" t="s">
        <v>84</v>
      </c>
      <c r="AB92" t="s">
        <v>84</v>
      </c>
      <c r="AC92" t="s">
        <v>84</v>
      </c>
      <c r="AD92">
        <f t="shared" si="33"/>
        <v>6</v>
      </c>
      <c r="AE92">
        <f t="shared" si="34"/>
        <v>85.714285714285708</v>
      </c>
      <c r="AF92" t="str">
        <f>IF(AE92 &lt;= 33.3, "Low", IF(AE92 &lt;= 66.7, "Medium", "High"))</f>
        <v>High</v>
      </c>
      <c r="AG92" t="s">
        <v>85</v>
      </c>
      <c r="AH92" t="s">
        <v>85</v>
      </c>
      <c r="AI92" t="s">
        <v>84</v>
      </c>
      <c r="AJ92" t="s">
        <v>85</v>
      </c>
      <c r="AK92" t="s">
        <v>84</v>
      </c>
      <c r="AL92" t="s">
        <v>84</v>
      </c>
      <c r="AM92">
        <f t="shared" si="35"/>
        <v>3</v>
      </c>
      <c r="AN92">
        <f t="shared" si="36"/>
        <v>42.857142857142854</v>
      </c>
      <c r="AO92" t="str">
        <f>IF(AN92 &lt;= 33.3, "Low", IF(AN92 &lt;= 66.7, "Medium", "High"))</f>
        <v>Medium</v>
      </c>
      <c r="AP92" t="s">
        <v>84</v>
      </c>
      <c r="AQ92" t="s">
        <v>84</v>
      </c>
      <c r="AR92" t="s">
        <v>84</v>
      </c>
      <c r="AS92" t="s">
        <v>84</v>
      </c>
      <c r="AT92" t="s">
        <v>84</v>
      </c>
      <c r="AU92" t="s">
        <v>84</v>
      </c>
      <c r="AV92" t="s">
        <v>84</v>
      </c>
      <c r="AW92">
        <f t="shared" si="37"/>
        <v>6</v>
      </c>
      <c r="AX92">
        <f t="shared" si="38"/>
        <v>100</v>
      </c>
      <c r="AY92" t="str">
        <f>IF(AX92 &lt;= 33.3, "Low", IF(AX92 &lt;= 66.7, "Medium", "High"))</f>
        <v>High</v>
      </c>
      <c r="AZ92" t="s">
        <v>84</v>
      </c>
      <c r="BA92" t="s">
        <v>85</v>
      </c>
      <c r="BB92" t="s">
        <v>85</v>
      </c>
      <c r="BC92" t="s">
        <v>85</v>
      </c>
      <c r="BD92" t="s">
        <v>84</v>
      </c>
      <c r="BE92" t="s">
        <v>85</v>
      </c>
      <c r="BF92" t="s">
        <v>85</v>
      </c>
      <c r="BG92" t="s">
        <v>85</v>
      </c>
      <c r="BH92">
        <f t="shared" si="39"/>
        <v>2</v>
      </c>
      <c r="BI92">
        <f t="shared" si="40"/>
        <v>28.571428571428569</v>
      </c>
      <c r="BJ92" t="str">
        <f>IF(BI92 &lt;= 33.3, "Low", IF(BI92 &lt;= 66.7, "Medium", "High"))</f>
        <v>Low</v>
      </c>
      <c r="BK92" t="s">
        <v>84</v>
      </c>
      <c r="BL92" t="s">
        <v>84</v>
      </c>
      <c r="BM92" t="s">
        <v>84</v>
      </c>
      <c r="BN92" t="s">
        <v>84</v>
      </c>
      <c r="BO92">
        <f t="shared" si="41"/>
        <v>4</v>
      </c>
      <c r="BP92">
        <f t="shared" si="42"/>
        <v>57.142857142857139</v>
      </c>
      <c r="BQ92" t="str">
        <f t="shared" si="43"/>
        <v>Medium</v>
      </c>
      <c r="BR92">
        <f>((COUNTIF(X92:AC92, "Yes") + COUNTIF(AG92:AL92, "Yes") + COUNTIF(AP92:AV92, "Yes") + COUNTIF(AZ92:BG92, "Yes") + COUNTIF(BK92:BN92, "Yes")) / 31) *100</f>
        <v>70.967741935483872</v>
      </c>
      <c r="BS92">
        <f>COUNTIF(X92:AC92, "Yes") + COUNTIF(AG92:AL92, "Yes") + COUNTIF(AP92:AV92, "Yes") + COUNTIF(AZ92:BG92, "Yes") + COUNTIF(BK92:BN92, "Yes")</f>
        <v>22</v>
      </c>
      <c r="BT92" t="str">
        <f>IF(BR92 &lt;= 33, "Low", IF(BR92 &lt;= 66, "Moderate", "High"))</f>
        <v>High</v>
      </c>
      <c r="BU92" t="s">
        <v>105</v>
      </c>
      <c r="BV92" s="13" t="s">
        <v>93</v>
      </c>
      <c r="BW92" s="9">
        <v>2023</v>
      </c>
      <c r="BX92" s="10" t="s">
        <v>88</v>
      </c>
      <c r="BZ92" t="s">
        <v>101</v>
      </c>
    </row>
    <row r="93" spans="1:78" x14ac:dyDescent="0.25">
      <c r="A93" t="s">
        <v>253</v>
      </c>
      <c r="B93">
        <v>37.185199999999902</v>
      </c>
      <c r="C93">
        <v>-3.6086999999999998</v>
      </c>
      <c r="D93" s="8">
        <v>4722</v>
      </c>
      <c r="E93" s="8" t="str">
        <f t="shared" si="29"/>
        <v>Medium</v>
      </c>
      <c r="F93" t="s">
        <v>79</v>
      </c>
      <c r="G93" t="s">
        <v>90</v>
      </c>
      <c r="H93">
        <v>2020</v>
      </c>
      <c r="I93" t="s">
        <v>98</v>
      </c>
      <c r="J93" t="s">
        <v>10</v>
      </c>
      <c r="K93" t="s">
        <v>254</v>
      </c>
      <c r="L93" t="s">
        <v>83</v>
      </c>
      <c r="M93" t="s">
        <v>85</v>
      </c>
      <c r="N93" t="s">
        <v>85</v>
      </c>
      <c r="O93" t="s">
        <v>85</v>
      </c>
      <c r="P93" t="s">
        <v>84</v>
      </c>
      <c r="Q93" t="s">
        <v>84</v>
      </c>
      <c r="R93" t="s">
        <v>85</v>
      </c>
      <c r="S93" s="8">
        <f t="shared" si="30"/>
        <v>2</v>
      </c>
      <c r="T93" s="8">
        <v>0</v>
      </c>
      <c r="U93" s="8">
        <f t="shared" si="31"/>
        <v>33.333333333333329</v>
      </c>
      <c r="V93" t="str">
        <f t="shared" si="32"/>
        <v>Medium</v>
      </c>
      <c r="X93" t="s">
        <v>86</v>
      </c>
      <c r="Y93" t="s">
        <v>86</v>
      </c>
      <c r="Z93" t="s">
        <v>86</v>
      </c>
      <c r="AA93" t="s">
        <v>86</v>
      </c>
      <c r="AB93" t="s">
        <v>86</v>
      </c>
      <c r="AC93" t="s">
        <v>86</v>
      </c>
      <c r="AD93">
        <f t="shared" si="33"/>
        <v>0</v>
      </c>
      <c r="AE93">
        <f t="shared" si="34"/>
        <v>0</v>
      </c>
      <c r="AF93" t="s">
        <v>86</v>
      </c>
      <c r="AG93" t="s">
        <v>86</v>
      </c>
      <c r="AH93" t="s">
        <v>86</v>
      </c>
      <c r="AI93" t="s">
        <v>86</v>
      </c>
      <c r="AJ93" t="s">
        <v>86</v>
      </c>
      <c r="AK93" t="s">
        <v>86</v>
      </c>
      <c r="AL93" t="s">
        <v>86</v>
      </c>
      <c r="AM93">
        <f t="shared" si="35"/>
        <v>0</v>
      </c>
      <c r="AN93">
        <f t="shared" si="36"/>
        <v>0</v>
      </c>
      <c r="AO93" t="s">
        <v>86</v>
      </c>
      <c r="AP93" t="s">
        <v>86</v>
      </c>
      <c r="AQ93" t="s">
        <v>86</v>
      </c>
      <c r="AR93" t="s">
        <v>86</v>
      </c>
      <c r="AS93" t="s">
        <v>86</v>
      </c>
      <c r="AT93" t="s">
        <v>86</v>
      </c>
      <c r="AU93" t="s">
        <v>86</v>
      </c>
      <c r="AV93" t="s">
        <v>86</v>
      </c>
      <c r="AW93">
        <f t="shared" si="37"/>
        <v>0</v>
      </c>
      <c r="AX93">
        <f t="shared" si="38"/>
        <v>0</v>
      </c>
      <c r="AY93" t="s">
        <v>86</v>
      </c>
      <c r="AZ93" t="s">
        <v>86</v>
      </c>
      <c r="BA93" t="s">
        <v>86</v>
      </c>
      <c r="BB93" t="s">
        <v>86</v>
      </c>
      <c r="BC93" t="s">
        <v>86</v>
      </c>
      <c r="BD93" t="s">
        <v>86</v>
      </c>
      <c r="BE93" t="s">
        <v>86</v>
      </c>
      <c r="BF93" t="s">
        <v>86</v>
      </c>
      <c r="BG93" t="s">
        <v>86</v>
      </c>
      <c r="BH93">
        <f t="shared" si="39"/>
        <v>0</v>
      </c>
      <c r="BI93">
        <f t="shared" si="40"/>
        <v>0</v>
      </c>
      <c r="BJ93" t="s">
        <v>86</v>
      </c>
      <c r="BK93" t="s">
        <v>86</v>
      </c>
      <c r="BL93" t="s">
        <v>86</v>
      </c>
      <c r="BM93" t="s">
        <v>86</v>
      </c>
      <c r="BN93" t="s">
        <v>86</v>
      </c>
      <c r="BO93">
        <f t="shared" si="41"/>
        <v>0</v>
      </c>
      <c r="BP93">
        <f t="shared" si="42"/>
        <v>0</v>
      </c>
      <c r="BQ93" t="str">
        <f t="shared" si="43"/>
        <v>Low</v>
      </c>
      <c r="BR93" t="s">
        <v>86</v>
      </c>
      <c r="BS93" t="s">
        <v>86</v>
      </c>
      <c r="BT93" t="s">
        <v>86</v>
      </c>
      <c r="BU93" t="s">
        <v>87</v>
      </c>
      <c r="BV93" t="s">
        <v>87</v>
      </c>
      <c r="BW93" s="9">
        <v>2023</v>
      </c>
      <c r="BX93" s="10" t="s">
        <v>88</v>
      </c>
      <c r="BY93" s="8"/>
      <c r="BZ93" t="s">
        <v>87</v>
      </c>
    </row>
    <row r="94" spans="1:78" x14ac:dyDescent="0.25">
      <c r="A94" t="s">
        <v>255</v>
      </c>
      <c r="B94">
        <v>56.552100000000003</v>
      </c>
      <c r="C94">
        <v>8.3056000000000001</v>
      </c>
      <c r="D94" s="14">
        <v>4759</v>
      </c>
      <c r="E94" s="8" t="str">
        <f t="shared" si="29"/>
        <v>Medium</v>
      </c>
      <c r="F94" t="s">
        <v>79</v>
      </c>
      <c r="G94" t="s">
        <v>124</v>
      </c>
      <c r="H94">
        <v>2021</v>
      </c>
      <c r="I94" t="s">
        <v>98</v>
      </c>
      <c r="J94" t="s">
        <v>91</v>
      </c>
      <c r="L94" t="s">
        <v>83</v>
      </c>
      <c r="M94" t="s">
        <v>85</v>
      </c>
      <c r="N94" t="s">
        <v>85</v>
      </c>
      <c r="O94" t="s">
        <v>85</v>
      </c>
      <c r="P94" t="s">
        <v>84</v>
      </c>
      <c r="Q94" t="s">
        <v>84</v>
      </c>
      <c r="R94" t="s">
        <v>85</v>
      </c>
      <c r="S94" s="8">
        <f t="shared" si="30"/>
        <v>2</v>
      </c>
      <c r="T94" s="8">
        <v>0</v>
      </c>
      <c r="U94" s="8">
        <f t="shared" si="31"/>
        <v>33.333333333333329</v>
      </c>
      <c r="V94" t="str">
        <f t="shared" si="32"/>
        <v>Medium</v>
      </c>
      <c r="X94" t="s">
        <v>84</v>
      </c>
      <c r="Y94" t="s">
        <v>84</v>
      </c>
      <c r="Z94" t="s">
        <v>84</v>
      </c>
      <c r="AA94" t="s">
        <v>85</v>
      </c>
      <c r="AB94" t="s">
        <v>85</v>
      </c>
      <c r="AC94" t="s">
        <v>85</v>
      </c>
      <c r="AD94">
        <f t="shared" si="33"/>
        <v>3</v>
      </c>
      <c r="AE94">
        <f t="shared" si="34"/>
        <v>42.857142857142854</v>
      </c>
      <c r="AF94" t="str">
        <f t="shared" ref="AF94:AF112" si="44">IF(AE94 &lt;= 33.3, "Low", IF(AE94 &lt;= 66.7, "Medium", "High"))</f>
        <v>Medium</v>
      </c>
      <c r="AG94" t="s">
        <v>84</v>
      </c>
      <c r="AH94" t="s">
        <v>84</v>
      </c>
      <c r="AI94" t="s">
        <v>85</v>
      </c>
      <c r="AJ94" t="s">
        <v>85</v>
      </c>
      <c r="AK94" t="s">
        <v>84</v>
      </c>
      <c r="AL94" t="s">
        <v>84</v>
      </c>
      <c r="AM94">
        <f t="shared" si="35"/>
        <v>4</v>
      </c>
      <c r="AN94">
        <f t="shared" si="36"/>
        <v>57.142857142857139</v>
      </c>
      <c r="AO94" t="str">
        <f t="shared" ref="AO94:AO112" si="45">IF(AN94 &lt;= 33.3, "Low", IF(AN94 &lt;= 66.7, "Medium", "High"))</f>
        <v>Medium</v>
      </c>
      <c r="AP94" t="s">
        <v>84</v>
      </c>
      <c r="AQ94" t="s">
        <v>84</v>
      </c>
      <c r="AR94" t="s">
        <v>85</v>
      </c>
      <c r="AS94" t="s">
        <v>84</v>
      </c>
      <c r="AT94" t="s">
        <v>85</v>
      </c>
      <c r="AU94" t="s">
        <v>85</v>
      </c>
      <c r="AV94" t="s">
        <v>84</v>
      </c>
      <c r="AW94">
        <f t="shared" si="37"/>
        <v>3</v>
      </c>
      <c r="AX94">
        <f t="shared" si="38"/>
        <v>57.142857142857139</v>
      </c>
      <c r="AY94" t="str">
        <f t="shared" ref="AY94:AY112" si="46">IF(AX94 &lt;= 33.3, "Low", IF(AX94 &lt;= 66.7, "Medium", "High"))</f>
        <v>Medium</v>
      </c>
      <c r="AZ94" t="s">
        <v>84</v>
      </c>
      <c r="BA94" t="s">
        <v>84</v>
      </c>
      <c r="BB94" t="s">
        <v>85</v>
      </c>
      <c r="BC94" t="s">
        <v>85</v>
      </c>
      <c r="BD94" t="s">
        <v>84</v>
      </c>
      <c r="BE94" t="s">
        <v>85</v>
      </c>
      <c r="BF94" t="s">
        <v>85</v>
      </c>
      <c r="BG94" t="s">
        <v>85</v>
      </c>
      <c r="BH94">
        <f t="shared" si="39"/>
        <v>3</v>
      </c>
      <c r="BI94">
        <f t="shared" si="40"/>
        <v>42.857142857142854</v>
      </c>
      <c r="BJ94" t="str">
        <f t="shared" ref="BJ94:BJ112" si="47">IF(BI94 &lt;= 33.3, "Low", IF(BI94 &lt;= 66.7, "Medium", "High"))</f>
        <v>Medium</v>
      </c>
      <c r="BK94" t="s">
        <v>84</v>
      </c>
      <c r="BL94" t="s">
        <v>84</v>
      </c>
      <c r="BM94" t="s">
        <v>84</v>
      </c>
      <c r="BN94" t="s">
        <v>84</v>
      </c>
      <c r="BO94">
        <f t="shared" si="41"/>
        <v>4</v>
      </c>
      <c r="BP94">
        <f t="shared" si="42"/>
        <v>57.142857142857139</v>
      </c>
      <c r="BQ94" t="str">
        <f t="shared" si="43"/>
        <v>Medium</v>
      </c>
      <c r="BR94">
        <f t="shared" ref="BR94:BR112" si="48">((COUNTIF(X94:AC94, "Yes") + COUNTIF(AG94:AL94, "Yes") + COUNTIF(AP94:AV94, "Yes") + COUNTIF(AZ94:BG94, "Yes") + COUNTIF(BK94:BN94, "Yes")) / 31) *100</f>
        <v>58.064516129032263</v>
      </c>
      <c r="BS94">
        <f t="shared" ref="BS94:BS112" si="49">COUNTIF(X94:AC94, "Yes") + COUNTIF(AG94:AL94, "Yes") + COUNTIF(AP94:AV94, "Yes") + COUNTIF(AZ94:BG94, "Yes") + COUNTIF(BK94:BN94, "Yes")</f>
        <v>18</v>
      </c>
      <c r="BT94" t="str">
        <f t="shared" ref="BT94:BT112" si="50">IF(BR94 &lt;= 33, "Low", IF(BR94 &lt;= 66, "Moderate", "High"))</f>
        <v>Moderate</v>
      </c>
      <c r="BU94" t="s">
        <v>92</v>
      </c>
      <c r="BV94" s="13" t="s">
        <v>88</v>
      </c>
      <c r="BX94" s="10" t="s">
        <v>256</v>
      </c>
      <c r="BY94" s="8">
        <v>0.05</v>
      </c>
      <c r="BZ94" t="s">
        <v>94</v>
      </c>
    </row>
    <row r="95" spans="1:78" x14ac:dyDescent="0.25">
      <c r="A95" t="s">
        <v>257</v>
      </c>
      <c r="B95">
        <v>12.257099999999999</v>
      </c>
      <c r="C95">
        <v>107.7903</v>
      </c>
      <c r="D95" s="8">
        <v>4760</v>
      </c>
      <c r="E95" s="8" t="str">
        <f t="shared" si="29"/>
        <v>Medium</v>
      </c>
      <c r="F95" t="s">
        <v>96</v>
      </c>
      <c r="G95" t="s">
        <v>218</v>
      </c>
      <c r="H95">
        <v>2020</v>
      </c>
      <c r="I95" t="s">
        <v>98</v>
      </c>
      <c r="J95" t="s">
        <v>91</v>
      </c>
      <c r="L95" t="s">
        <v>83</v>
      </c>
      <c r="M95" t="s">
        <v>84</v>
      </c>
      <c r="N95" t="s">
        <v>85</v>
      </c>
      <c r="O95" t="s">
        <v>85</v>
      </c>
      <c r="P95" t="s">
        <v>84</v>
      </c>
      <c r="Q95" t="s">
        <v>84</v>
      </c>
      <c r="R95" t="s">
        <v>84</v>
      </c>
      <c r="S95" s="8">
        <f t="shared" si="30"/>
        <v>4</v>
      </c>
      <c r="T95" s="8">
        <v>0</v>
      </c>
      <c r="U95" s="8">
        <f t="shared" si="31"/>
        <v>66.666666666666657</v>
      </c>
      <c r="V95" t="str">
        <f t="shared" si="32"/>
        <v>Medium</v>
      </c>
      <c r="X95" t="s">
        <v>84</v>
      </c>
      <c r="Y95" t="s">
        <v>84</v>
      </c>
      <c r="Z95" t="s">
        <v>84</v>
      </c>
      <c r="AA95" t="s">
        <v>84</v>
      </c>
      <c r="AB95" t="s">
        <v>85</v>
      </c>
      <c r="AC95" t="s">
        <v>85</v>
      </c>
      <c r="AD95">
        <f t="shared" si="33"/>
        <v>4</v>
      </c>
      <c r="AE95">
        <f t="shared" si="34"/>
        <v>57.142857142857139</v>
      </c>
      <c r="AF95" t="str">
        <f t="shared" si="44"/>
        <v>Medium</v>
      </c>
      <c r="AG95" t="s">
        <v>84</v>
      </c>
      <c r="AH95" t="s">
        <v>84</v>
      </c>
      <c r="AI95" t="s">
        <v>85</v>
      </c>
      <c r="AJ95" t="s">
        <v>84</v>
      </c>
      <c r="AK95" t="s">
        <v>85</v>
      </c>
      <c r="AL95" t="s">
        <v>84</v>
      </c>
      <c r="AM95">
        <f t="shared" si="35"/>
        <v>4</v>
      </c>
      <c r="AN95">
        <f t="shared" si="36"/>
        <v>57.142857142857139</v>
      </c>
      <c r="AO95" t="str">
        <f t="shared" si="45"/>
        <v>Medium</v>
      </c>
      <c r="AP95" t="s">
        <v>84</v>
      </c>
      <c r="AQ95" t="s">
        <v>84</v>
      </c>
      <c r="AR95" t="s">
        <v>84</v>
      </c>
      <c r="AS95" t="s">
        <v>84</v>
      </c>
      <c r="AT95" t="s">
        <v>85</v>
      </c>
      <c r="AU95" t="s">
        <v>84</v>
      </c>
      <c r="AV95" t="s">
        <v>84</v>
      </c>
      <c r="AW95">
        <f t="shared" si="37"/>
        <v>5</v>
      </c>
      <c r="AX95">
        <f t="shared" si="38"/>
        <v>85.714285714285708</v>
      </c>
      <c r="AY95" t="str">
        <f t="shared" si="46"/>
        <v>High</v>
      </c>
      <c r="AZ95" t="s">
        <v>84</v>
      </c>
      <c r="BA95" t="s">
        <v>85</v>
      </c>
      <c r="BB95" t="s">
        <v>84</v>
      </c>
      <c r="BC95" t="s">
        <v>84</v>
      </c>
      <c r="BD95" t="s">
        <v>84</v>
      </c>
      <c r="BE95" t="s">
        <v>85</v>
      </c>
      <c r="BF95" t="s">
        <v>84</v>
      </c>
      <c r="BG95" t="s">
        <v>85</v>
      </c>
      <c r="BH95">
        <f t="shared" si="39"/>
        <v>5</v>
      </c>
      <c r="BI95">
        <f t="shared" si="40"/>
        <v>71.428571428571431</v>
      </c>
      <c r="BJ95" t="str">
        <f t="shared" si="47"/>
        <v>High</v>
      </c>
      <c r="BK95" t="s">
        <v>84</v>
      </c>
      <c r="BL95" t="s">
        <v>84</v>
      </c>
      <c r="BM95" t="s">
        <v>84</v>
      </c>
      <c r="BN95" t="s">
        <v>84</v>
      </c>
      <c r="BO95">
        <f t="shared" si="41"/>
        <v>4</v>
      </c>
      <c r="BP95">
        <f t="shared" si="42"/>
        <v>57.142857142857139</v>
      </c>
      <c r="BQ95" t="str">
        <f t="shared" si="43"/>
        <v>Medium</v>
      </c>
      <c r="BR95">
        <f t="shared" si="48"/>
        <v>74.193548387096769</v>
      </c>
      <c r="BS95">
        <f t="shared" si="49"/>
        <v>23</v>
      </c>
      <c r="BT95" t="str">
        <f t="shared" si="50"/>
        <v>High</v>
      </c>
      <c r="BU95" t="s">
        <v>92</v>
      </c>
      <c r="BV95" s="13" t="s">
        <v>93</v>
      </c>
      <c r="BW95" s="9">
        <v>2023</v>
      </c>
      <c r="BX95" s="10" t="s">
        <v>88</v>
      </c>
      <c r="BY95" s="8">
        <v>0.25</v>
      </c>
      <c r="BZ95" t="s">
        <v>94</v>
      </c>
    </row>
    <row r="96" spans="1:78" x14ac:dyDescent="0.25">
      <c r="A96" t="s">
        <v>258</v>
      </c>
      <c r="B96">
        <v>-2.8675000000000002</v>
      </c>
      <c r="C96">
        <v>107.955833333333</v>
      </c>
      <c r="D96" s="8">
        <v>4800</v>
      </c>
      <c r="E96" s="8" t="str">
        <f t="shared" si="29"/>
        <v>Medium</v>
      </c>
      <c r="F96" t="s">
        <v>96</v>
      </c>
      <c r="G96" t="s">
        <v>181</v>
      </c>
      <c r="H96">
        <v>2021</v>
      </c>
      <c r="I96" t="s">
        <v>98</v>
      </c>
      <c r="J96" t="s">
        <v>113</v>
      </c>
      <c r="L96" t="s">
        <v>104</v>
      </c>
      <c r="M96" t="s">
        <v>85</v>
      </c>
      <c r="N96" t="s">
        <v>85</v>
      </c>
      <c r="O96" t="s">
        <v>85</v>
      </c>
      <c r="P96" t="s">
        <v>84</v>
      </c>
      <c r="Q96" t="s">
        <v>84</v>
      </c>
      <c r="R96" t="s">
        <v>85</v>
      </c>
      <c r="S96" s="8">
        <f t="shared" si="30"/>
        <v>2</v>
      </c>
      <c r="T96" s="8">
        <v>0</v>
      </c>
      <c r="U96" s="8">
        <f t="shared" si="31"/>
        <v>33.333333333333329</v>
      </c>
      <c r="V96" t="str">
        <f t="shared" si="32"/>
        <v>Medium</v>
      </c>
      <c r="W96" t="s">
        <v>248</v>
      </c>
      <c r="X96" t="s">
        <v>84</v>
      </c>
      <c r="Y96" t="s">
        <v>84</v>
      </c>
      <c r="Z96" t="s">
        <v>84</v>
      </c>
      <c r="AA96" t="s">
        <v>84</v>
      </c>
      <c r="AB96" t="s">
        <v>85</v>
      </c>
      <c r="AC96" t="s">
        <v>85</v>
      </c>
      <c r="AD96">
        <f t="shared" si="33"/>
        <v>4</v>
      </c>
      <c r="AE96">
        <f t="shared" si="34"/>
        <v>57.142857142857139</v>
      </c>
      <c r="AF96" t="str">
        <f t="shared" si="44"/>
        <v>Medium</v>
      </c>
      <c r="AG96" t="s">
        <v>85</v>
      </c>
      <c r="AH96" t="s">
        <v>85</v>
      </c>
      <c r="AI96" t="s">
        <v>84</v>
      </c>
      <c r="AJ96" t="s">
        <v>84</v>
      </c>
      <c r="AK96" t="s">
        <v>84</v>
      </c>
      <c r="AL96" t="s">
        <v>84</v>
      </c>
      <c r="AM96">
        <f t="shared" si="35"/>
        <v>4</v>
      </c>
      <c r="AN96">
        <f t="shared" si="36"/>
        <v>57.142857142857139</v>
      </c>
      <c r="AO96" t="str">
        <f t="shared" si="45"/>
        <v>Medium</v>
      </c>
      <c r="AP96" t="s">
        <v>85</v>
      </c>
      <c r="AQ96" t="s">
        <v>84</v>
      </c>
      <c r="AR96" t="s">
        <v>84</v>
      </c>
      <c r="AS96" t="s">
        <v>84</v>
      </c>
      <c r="AT96" t="s">
        <v>85</v>
      </c>
      <c r="AU96" t="s">
        <v>84</v>
      </c>
      <c r="AV96" t="s">
        <v>85</v>
      </c>
      <c r="AW96">
        <f t="shared" si="37"/>
        <v>4</v>
      </c>
      <c r="AX96">
        <f t="shared" si="38"/>
        <v>57.142857142857139</v>
      </c>
      <c r="AY96" t="str">
        <f t="shared" si="46"/>
        <v>Medium</v>
      </c>
      <c r="AZ96" t="s">
        <v>84</v>
      </c>
      <c r="BA96" t="s">
        <v>85</v>
      </c>
      <c r="BB96" t="s">
        <v>85</v>
      </c>
      <c r="BC96" t="s">
        <v>84</v>
      </c>
      <c r="BD96" t="s">
        <v>84</v>
      </c>
      <c r="BE96" t="s">
        <v>85</v>
      </c>
      <c r="BF96" t="s">
        <v>85</v>
      </c>
      <c r="BG96" t="s">
        <v>84</v>
      </c>
      <c r="BH96">
        <f t="shared" si="39"/>
        <v>4</v>
      </c>
      <c r="BI96">
        <f t="shared" si="40"/>
        <v>57.142857142857139</v>
      </c>
      <c r="BJ96" t="str">
        <f t="shared" si="47"/>
        <v>Medium</v>
      </c>
      <c r="BK96" t="s">
        <v>84</v>
      </c>
      <c r="BL96" t="s">
        <v>84</v>
      </c>
      <c r="BM96" t="s">
        <v>85</v>
      </c>
      <c r="BN96" t="s">
        <v>84</v>
      </c>
      <c r="BO96">
        <f t="shared" si="41"/>
        <v>3</v>
      </c>
      <c r="BP96">
        <f t="shared" si="42"/>
        <v>42.857142857142854</v>
      </c>
      <c r="BQ96" t="str">
        <f t="shared" si="43"/>
        <v>Medium</v>
      </c>
      <c r="BR96">
        <f t="shared" si="48"/>
        <v>61.29032258064516</v>
      </c>
      <c r="BS96">
        <f t="shared" si="49"/>
        <v>19</v>
      </c>
      <c r="BT96" t="str">
        <f t="shared" si="50"/>
        <v>Moderate</v>
      </c>
      <c r="BU96" t="s">
        <v>105</v>
      </c>
      <c r="BV96" s="13" t="s">
        <v>114</v>
      </c>
      <c r="BX96" s="10" t="s">
        <v>256</v>
      </c>
      <c r="BY96" s="8">
        <v>0.05</v>
      </c>
      <c r="BZ96" t="s">
        <v>94</v>
      </c>
    </row>
    <row r="97" spans="1:78" x14ac:dyDescent="0.25">
      <c r="A97" t="s">
        <v>259</v>
      </c>
      <c r="B97">
        <v>-1.8495016666666599</v>
      </c>
      <c r="C97">
        <v>101.92565916666599</v>
      </c>
      <c r="D97" s="8">
        <v>4832.3100000000004</v>
      </c>
      <c r="E97" s="8" t="str">
        <f t="shared" si="29"/>
        <v>Medium</v>
      </c>
      <c r="F97" t="s">
        <v>96</v>
      </c>
      <c r="G97" t="s">
        <v>181</v>
      </c>
      <c r="H97">
        <v>2023</v>
      </c>
      <c r="I97" t="s">
        <v>98</v>
      </c>
      <c r="J97" t="s">
        <v>113</v>
      </c>
      <c r="L97" t="s">
        <v>83</v>
      </c>
      <c r="M97" t="s">
        <v>84</v>
      </c>
      <c r="N97" t="s">
        <v>85</v>
      </c>
      <c r="O97" t="s">
        <v>84</v>
      </c>
      <c r="P97" t="s">
        <v>84</v>
      </c>
      <c r="Q97" t="s">
        <v>84</v>
      </c>
      <c r="R97" t="s">
        <v>84</v>
      </c>
      <c r="S97" s="8">
        <f t="shared" si="30"/>
        <v>5</v>
      </c>
      <c r="T97" s="8">
        <v>0</v>
      </c>
      <c r="U97" s="8">
        <f t="shared" si="31"/>
        <v>83.333333333333343</v>
      </c>
      <c r="V97" t="str">
        <f t="shared" si="32"/>
        <v>High</v>
      </c>
      <c r="X97" t="s">
        <v>84</v>
      </c>
      <c r="Y97" t="s">
        <v>84</v>
      </c>
      <c r="Z97" t="s">
        <v>84</v>
      </c>
      <c r="AA97" t="s">
        <v>84</v>
      </c>
      <c r="AB97" t="s">
        <v>85</v>
      </c>
      <c r="AC97" t="s">
        <v>85</v>
      </c>
      <c r="AD97">
        <f t="shared" si="33"/>
        <v>4</v>
      </c>
      <c r="AE97">
        <f t="shared" si="34"/>
        <v>57.142857142857139</v>
      </c>
      <c r="AF97" t="str">
        <f t="shared" si="44"/>
        <v>Medium</v>
      </c>
      <c r="AG97" t="s">
        <v>84</v>
      </c>
      <c r="AH97" t="s">
        <v>84</v>
      </c>
      <c r="AI97" t="s">
        <v>84</v>
      </c>
      <c r="AJ97" t="s">
        <v>85</v>
      </c>
      <c r="AK97" t="s">
        <v>84</v>
      </c>
      <c r="AL97" t="s">
        <v>84</v>
      </c>
      <c r="AM97">
        <f t="shared" si="35"/>
        <v>5</v>
      </c>
      <c r="AN97">
        <f t="shared" si="36"/>
        <v>71.428571428571431</v>
      </c>
      <c r="AO97" t="str">
        <f t="shared" si="45"/>
        <v>High</v>
      </c>
      <c r="AP97" t="s">
        <v>84</v>
      </c>
      <c r="AQ97" t="s">
        <v>84</v>
      </c>
      <c r="AR97" t="s">
        <v>84</v>
      </c>
      <c r="AS97" t="s">
        <v>84</v>
      </c>
      <c r="AT97" t="s">
        <v>85</v>
      </c>
      <c r="AU97" t="s">
        <v>84</v>
      </c>
      <c r="AV97" t="s">
        <v>85</v>
      </c>
      <c r="AW97">
        <f t="shared" si="37"/>
        <v>5</v>
      </c>
      <c r="AX97">
        <f t="shared" si="38"/>
        <v>71.428571428571431</v>
      </c>
      <c r="AY97" t="str">
        <f t="shared" si="46"/>
        <v>High</v>
      </c>
      <c r="AZ97" t="s">
        <v>84</v>
      </c>
      <c r="BA97" t="s">
        <v>85</v>
      </c>
      <c r="BB97" t="s">
        <v>84</v>
      </c>
      <c r="BC97" t="s">
        <v>84</v>
      </c>
      <c r="BD97" t="s">
        <v>84</v>
      </c>
      <c r="BE97" t="s">
        <v>85</v>
      </c>
      <c r="BF97" t="s">
        <v>84</v>
      </c>
      <c r="BG97" t="s">
        <v>85</v>
      </c>
      <c r="BH97">
        <f t="shared" si="39"/>
        <v>5</v>
      </c>
      <c r="BI97">
        <f t="shared" si="40"/>
        <v>71.428571428571431</v>
      </c>
      <c r="BJ97" t="str">
        <f t="shared" si="47"/>
        <v>High</v>
      </c>
      <c r="BK97" t="s">
        <v>84</v>
      </c>
      <c r="BL97" t="s">
        <v>84</v>
      </c>
      <c r="BM97" t="s">
        <v>84</v>
      </c>
      <c r="BN97" t="s">
        <v>85</v>
      </c>
      <c r="BO97">
        <f t="shared" si="41"/>
        <v>3</v>
      </c>
      <c r="BP97">
        <f t="shared" si="42"/>
        <v>42.857142857142854</v>
      </c>
      <c r="BQ97" t="str">
        <f t="shared" si="43"/>
        <v>Medium</v>
      </c>
      <c r="BR97">
        <f t="shared" si="48"/>
        <v>70.967741935483872</v>
      </c>
      <c r="BS97">
        <f t="shared" si="49"/>
        <v>22</v>
      </c>
      <c r="BT97" t="str">
        <f t="shared" si="50"/>
        <v>High</v>
      </c>
      <c r="BU97" t="s">
        <v>92</v>
      </c>
      <c r="BV97" s="13" t="s">
        <v>114</v>
      </c>
      <c r="BX97" s="10" t="s">
        <v>115</v>
      </c>
      <c r="BY97" s="8"/>
      <c r="BZ97" t="s">
        <v>101</v>
      </c>
    </row>
    <row r="98" spans="1:78" x14ac:dyDescent="0.25">
      <c r="A98" t="s">
        <v>260</v>
      </c>
      <c r="B98">
        <v>62.151944444444403</v>
      </c>
      <c r="C98">
        <v>22.175000000000001</v>
      </c>
      <c r="D98" s="8">
        <v>4907</v>
      </c>
      <c r="E98" s="8" t="str">
        <f t="shared" si="29"/>
        <v>Medium</v>
      </c>
      <c r="F98" t="s">
        <v>79</v>
      </c>
      <c r="G98" t="s">
        <v>188</v>
      </c>
      <c r="H98">
        <v>2020</v>
      </c>
      <c r="I98" t="s">
        <v>98</v>
      </c>
      <c r="J98" t="s">
        <v>91</v>
      </c>
      <c r="L98" t="s">
        <v>83</v>
      </c>
      <c r="M98" t="s">
        <v>85</v>
      </c>
      <c r="N98" t="s">
        <v>85</v>
      </c>
      <c r="O98" t="s">
        <v>85</v>
      </c>
      <c r="P98" t="s">
        <v>84</v>
      </c>
      <c r="Q98" t="s">
        <v>84</v>
      </c>
      <c r="R98" t="s">
        <v>84</v>
      </c>
      <c r="S98" s="8">
        <f t="shared" si="30"/>
        <v>3</v>
      </c>
      <c r="T98" s="8">
        <v>0</v>
      </c>
      <c r="U98" s="8">
        <f t="shared" si="31"/>
        <v>50</v>
      </c>
      <c r="V98" t="str">
        <f t="shared" si="32"/>
        <v>Medium</v>
      </c>
      <c r="W98" t="s">
        <v>261</v>
      </c>
      <c r="X98" t="s">
        <v>84</v>
      </c>
      <c r="Y98" t="s">
        <v>85</v>
      </c>
      <c r="Z98" t="s">
        <v>84</v>
      </c>
      <c r="AA98" t="s">
        <v>84</v>
      </c>
      <c r="AB98" t="s">
        <v>84</v>
      </c>
      <c r="AC98" t="s">
        <v>84</v>
      </c>
      <c r="AD98">
        <f t="shared" si="33"/>
        <v>5</v>
      </c>
      <c r="AE98">
        <f t="shared" si="34"/>
        <v>71.428571428571431</v>
      </c>
      <c r="AF98" t="str">
        <f t="shared" si="44"/>
        <v>High</v>
      </c>
      <c r="AG98" t="s">
        <v>84</v>
      </c>
      <c r="AH98" t="s">
        <v>84</v>
      </c>
      <c r="AI98" t="s">
        <v>84</v>
      </c>
      <c r="AJ98" t="s">
        <v>84</v>
      </c>
      <c r="AK98" t="s">
        <v>84</v>
      </c>
      <c r="AL98" t="s">
        <v>84</v>
      </c>
      <c r="AM98">
        <f t="shared" si="35"/>
        <v>6</v>
      </c>
      <c r="AN98">
        <f t="shared" si="36"/>
        <v>85.714285714285708</v>
      </c>
      <c r="AO98" t="str">
        <f t="shared" si="45"/>
        <v>High</v>
      </c>
      <c r="AP98" t="s">
        <v>85</v>
      </c>
      <c r="AQ98" t="s">
        <v>84</v>
      </c>
      <c r="AR98" t="s">
        <v>84</v>
      </c>
      <c r="AS98" t="s">
        <v>84</v>
      </c>
      <c r="AT98" t="s">
        <v>84</v>
      </c>
      <c r="AU98" t="s">
        <v>84</v>
      </c>
      <c r="AV98" t="s">
        <v>84</v>
      </c>
      <c r="AW98">
        <f t="shared" si="37"/>
        <v>5</v>
      </c>
      <c r="AX98">
        <f t="shared" si="38"/>
        <v>85.714285714285708</v>
      </c>
      <c r="AY98" t="str">
        <f t="shared" si="46"/>
        <v>High</v>
      </c>
      <c r="AZ98" t="s">
        <v>84</v>
      </c>
      <c r="BA98" t="s">
        <v>84</v>
      </c>
      <c r="BB98" t="s">
        <v>84</v>
      </c>
      <c r="BC98" t="s">
        <v>84</v>
      </c>
      <c r="BD98" t="s">
        <v>84</v>
      </c>
      <c r="BE98" t="s">
        <v>84</v>
      </c>
      <c r="BF98" t="s">
        <v>84</v>
      </c>
      <c r="BG98" t="s">
        <v>84</v>
      </c>
      <c r="BH98">
        <f t="shared" si="39"/>
        <v>8</v>
      </c>
      <c r="BI98">
        <f t="shared" si="40"/>
        <v>114.28571428571428</v>
      </c>
      <c r="BJ98" t="str">
        <f t="shared" si="47"/>
        <v>High</v>
      </c>
      <c r="BK98" t="s">
        <v>84</v>
      </c>
      <c r="BL98" t="s">
        <v>84</v>
      </c>
      <c r="BM98" t="s">
        <v>84</v>
      </c>
      <c r="BN98" t="s">
        <v>84</v>
      </c>
      <c r="BO98">
        <f t="shared" si="41"/>
        <v>4</v>
      </c>
      <c r="BP98">
        <f t="shared" si="42"/>
        <v>57.142857142857139</v>
      </c>
      <c r="BQ98" t="str">
        <f t="shared" si="43"/>
        <v>Medium</v>
      </c>
      <c r="BR98">
        <f t="shared" si="48"/>
        <v>93.548387096774192</v>
      </c>
      <c r="BS98">
        <f t="shared" si="49"/>
        <v>29</v>
      </c>
      <c r="BT98" t="str">
        <f t="shared" si="50"/>
        <v>High</v>
      </c>
      <c r="BU98" t="s">
        <v>92</v>
      </c>
      <c r="BV98" s="13" t="s">
        <v>99</v>
      </c>
      <c r="BW98" s="9">
        <v>2023</v>
      </c>
      <c r="BX98" s="10" t="s">
        <v>88</v>
      </c>
      <c r="BY98" s="8">
        <v>0.1</v>
      </c>
      <c r="BZ98" t="s">
        <v>94</v>
      </c>
    </row>
    <row r="99" spans="1:78" x14ac:dyDescent="0.25">
      <c r="A99" t="s">
        <v>262</v>
      </c>
      <c r="B99">
        <v>-5.1457530555555504</v>
      </c>
      <c r="C99">
        <v>119.416054444444</v>
      </c>
      <c r="D99" s="8">
        <v>5077.25</v>
      </c>
      <c r="E99" s="8" t="str">
        <f t="shared" si="29"/>
        <v>Large</v>
      </c>
      <c r="F99" t="s">
        <v>96</v>
      </c>
      <c r="G99" t="s">
        <v>181</v>
      </c>
      <c r="H99">
        <v>2023</v>
      </c>
      <c r="I99" t="s">
        <v>98</v>
      </c>
      <c r="J99" t="s">
        <v>10</v>
      </c>
      <c r="K99" t="s">
        <v>263</v>
      </c>
      <c r="L99" t="s">
        <v>83</v>
      </c>
      <c r="M99" t="s">
        <v>84</v>
      </c>
      <c r="N99" t="s">
        <v>85</v>
      </c>
      <c r="O99" t="s">
        <v>84</v>
      </c>
      <c r="P99" t="s">
        <v>84</v>
      </c>
      <c r="Q99" t="s">
        <v>84</v>
      </c>
      <c r="R99" s="12" t="s">
        <v>84</v>
      </c>
      <c r="S99" s="8">
        <f t="shared" si="30"/>
        <v>5</v>
      </c>
      <c r="T99" s="8">
        <v>0</v>
      </c>
      <c r="U99" s="8">
        <f t="shared" si="31"/>
        <v>83.333333333333343</v>
      </c>
      <c r="V99" t="str">
        <f t="shared" si="32"/>
        <v>High</v>
      </c>
      <c r="X99" t="s">
        <v>84</v>
      </c>
      <c r="Y99" t="s">
        <v>85</v>
      </c>
      <c r="Z99" t="s">
        <v>84</v>
      </c>
      <c r="AA99" t="s">
        <v>84</v>
      </c>
      <c r="AB99" t="s">
        <v>85</v>
      </c>
      <c r="AC99" t="s">
        <v>85</v>
      </c>
      <c r="AD99">
        <f t="shared" si="33"/>
        <v>3</v>
      </c>
      <c r="AE99">
        <f t="shared" si="34"/>
        <v>42.857142857142854</v>
      </c>
      <c r="AF99" t="str">
        <f t="shared" si="44"/>
        <v>Medium</v>
      </c>
      <c r="AG99" t="s">
        <v>84</v>
      </c>
      <c r="AH99" t="s">
        <v>85</v>
      </c>
      <c r="AI99" t="s">
        <v>85</v>
      </c>
      <c r="AJ99" t="s">
        <v>85</v>
      </c>
      <c r="AK99" t="s">
        <v>84</v>
      </c>
      <c r="AL99" t="s">
        <v>84</v>
      </c>
      <c r="AM99">
        <f t="shared" si="35"/>
        <v>3</v>
      </c>
      <c r="AN99">
        <f t="shared" si="36"/>
        <v>42.857142857142854</v>
      </c>
      <c r="AO99" t="str">
        <f t="shared" si="45"/>
        <v>Medium</v>
      </c>
      <c r="AP99" t="s">
        <v>84</v>
      </c>
      <c r="AQ99" t="s">
        <v>84</v>
      </c>
      <c r="AR99" t="s">
        <v>84</v>
      </c>
      <c r="AS99" t="s">
        <v>84</v>
      </c>
      <c r="AT99" t="s">
        <v>85</v>
      </c>
      <c r="AU99" t="s">
        <v>84</v>
      </c>
      <c r="AV99" t="s">
        <v>84</v>
      </c>
      <c r="AW99">
        <f t="shared" si="37"/>
        <v>5</v>
      </c>
      <c r="AX99">
        <f t="shared" si="38"/>
        <v>85.714285714285708</v>
      </c>
      <c r="AY99" t="str">
        <f t="shared" si="46"/>
        <v>High</v>
      </c>
      <c r="AZ99" t="s">
        <v>84</v>
      </c>
      <c r="BA99" t="s">
        <v>85</v>
      </c>
      <c r="BB99" t="s">
        <v>84</v>
      </c>
      <c r="BC99" t="s">
        <v>85</v>
      </c>
      <c r="BD99" t="s">
        <v>84</v>
      </c>
      <c r="BE99" t="s">
        <v>85</v>
      </c>
      <c r="BF99" t="s">
        <v>85</v>
      </c>
      <c r="BG99" t="s">
        <v>85</v>
      </c>
      <c r="BH99">
        <f t="shared" si="39"/>
        <v>3</v>
      </c>
      <c r="BI99">
        <f t="shared" si="40"/>
        <v>42.857142857142854</v>
      </c>
      <c r="BJ99" t="str">
        <f t="shared" si="47"/>
        <v>Medium</v>
      </c>
      <c r="BK99" t="s">
        <v>84</v>
      </c>
      <c r="BL99" t="s">
        <v>85</v>
      </c>
      <c r="BM99" t="s">
        <v>85</v>
      </c>
      <c r="BN99" t="s">
        <v>85</v>
      </c>
      <c r="BO99">
        <f t="shared" si="41"/>
        <v>1</v>
      </c>
      <c r="BP99">
        <f t="shared" si="42"/>
        <v>14.285714285714285</v>
      </c>
      <c r="BQ99" t="str">
        <f t="shared" si="43"/>
        <v>Low</v>
      </c>
      <c r="BR99">
        <f t="shared" si="48"/>
        <v>51.612903225806448</v>
      </c>
      <c r="BS99">
        <f t="shared" si="49"/>
        <v>16</v>
      </c>
      <c r="BT99" t="str">
        <f t="shared" si="50"/>
        <v>Moderate</v>
      </c>
      <c r="BU99" t="s">
        <v>92</v>
      </c>
      <c r="BV99" s="13" t="s">
        <v>114</v>
      </c>
      <c r="BX99" s="10" t="s">
        <v>115</v>
      </c>
      <c r="BY99" s="8">
        <v>0.1</v>
      </c>
      <c r="BZ99" t="s">
        <v>94</v>
      </c>
    </row>
    <row r="100" spans="1:78" x14ac:dyDescent="0.25">
      <c r="A100" t="s">
        <v>264</v>
      </c>
      <c r="B100">
        <v>31.5</v>
      </c>
      <c r="C100">
        <v>-6.45</v>
      </c>
      <c r="D100" s="8">
        <v>5730</v>
      </c>
      <c r="E100" s="8" t="str">
        <f t="shared" si="29"/>
        <v>Large</v>
      </c>
      <c r="F100" t="s">
        <v>265</v>
      </c>
      <c r="G100" t="s">
        <v>266</v>
      </c>
      <c r="H100">
        <v>2014</v>
      </c>
      <c r="I100" t="s">
        <v>103</v>
      </c>
      <c r="J100" t="s">
        <v>10</v>
      </c>
      <c r="K100" t="s">
        <v>267</v>
      </c>
      <c r="L100" t="s">
        <v>83</v>
      </c>
      <c r="M100" t="s">
        <v>84</v>
      </c>
      <c r="N100" t="s">
        <v>84</v>
      </c>
      <c r="O100" t="s">
        <v>84</v>
      </c>
      <c r="P100" t="s">
        <v>84</v>
      </c>
      <c r="Q100" t="s">
        <v>84</v>
      </c>
      <c r="R100" t="s">
        <v>85</v>
      </c>
      <c r="S100" s="8">
        <f t="shared" si="30"/>
        <v>5</v>
      </c>
      <c r="T100" s="8">
        <v>0</v>
      </c>
      <c r="U100" s="8">
        <f t="shared" si="31"/>
        <v>83.333333333333343</v>
      </c>
      <c r="V100" t="str">
        <f t="shared" si="32"/>
        <v>High</v>
      </c>
      <c r="W100" t="s">
        <v>268</v>
      </c>
      <c r="X100" t="s">
        <v>84</v>
      </c>
      <c r="Y100" t="s">
        <v>84</v>
      </c>
      <c r="Z100" t="s">
        <v>84</v>
      </c>
      <c r="AA100" t="s">
        <v>84</v>
      </c>
      <c r="AB100" t="s">
        <v>85</v>
      </c>
      <c r="AC100" t="s">
        <v>85</v>
      </c>
      <c r="AD100">
        <f t="shared" si="33"/>
        <v>4</v>
      </c>
      <c r="AE100">
        <f t="shared" si="34"/>
        <v>57.142857142857139</v>
      </c>
      <c r="AF100" t="str">
        <f t="shared" si="44"/>
        <v>Medium</v>
      </c>
      <c r="AG100" t="s">
        <v>85</v>
      </c>
      <c r="AH100" t="s">
        <v>84</v>
      </c>
      <c r="AI100" t="s">
        <v>84</v>
      </c>
      <c r="AJ100" t="s">
        <v>84</v>
      </c>
      <c r="AK100" t="s">
        <v>84</v>
      </c>
      <c r="AL100" t="s">
        <v>85</v>
      </c>
      <c r="AM100">
        <f t="shared" si="35"/>
        <v>4</v>
      </c>
      <c r="AN100">
        <f t="shared" si="36"/>
        <v>57.142857142857139</v>
      </c>
      <c r="AO100" t="str">
        <f t="shared" si="45"/>
        <v>Medium</v>
      </c>
      <c r="AP100" t="s">
        <v>84</v>
      </c>
      <c r="AQ100" t="s">
        <v>84</v>
      </c>
      <c r="AR100" t="s">
        <v>85</v>
      </c>
      <c r="AS100" t="s">
        <v>84</v>
      </c>
      <c r="AT100" t="s">
        <v>85</v>
      </c>
      <c r="AU100" t="s">
        <v>84</v>
      </c>
      <c r="AV100" t="s">
        <v>84</v>
      </c>
      <c r="AW100">
        <f t="shared" si="37"/>
        <v>4</v>
      </c>
      <c r="AX100">
        <f t="shared" si="38"/>
        <v>71.428571428571431</v>
      </c>
      <c r="AY100" t="str">
        <f t="shared" si="46"/>
        <v>High</v>
      </c>
      <c r="AZ100" t="s">
        <v>84</v>
      </c>
      <c r="BA100" t="s">
        <v>85</v>
      </c>
      <c r="BB100" t="s">
        <v>84</v>
      </c>
      <c r="BC100" t="s">
        <v>84</v>
      </c>
      <c r="BD100" t="s">
        <v>84</v>
      </c>
      <c r="BE100" t="s">
        <v>84</v>
      </c>
      <c r="BF100" t="s">
        <v>85</v>
      </c>
      <c r="BG100" t="s">
        <v>85</v>
      </c>
      <c r="BH100">
        <f t="shared" si="39"/>
        <v>5</v>
      </c>
      <c r="BI100">
        <f t="shared" si="40"/>
        <v>71.428571428571431</v>
      </c>
      <c r="BJ100" t="str">
        <f t="shared" si="47"/>
        <v>High</v>
      </c>
      <c r="BK100" t="s">
        <v>84</v>
      </c>
      <c r="BL100" t="s">
        <v>84</v>
      </c>
      <c r="BM100" t="s">
        <v>84</v>
      </c>
      <c r="BN100" t="s">
        <v>84</v>
      </c>
      <c r="BO100">
        <f t="shared" si="41"/>
        <v>4</v>
      </c>
      <c r="BP100">
        <f t="shared" si="42"/>
        <v>57.142857142857139</v>
      </c>
      <c r="BQ100" t="str">
        <f t="shared" si="43"/>
        <v>Medium</v>
      </c>
      <c r="BR100">
        <f t="shared" si="48"/>
        <v>70.967741935483872</v>
      </c>
      <c r="BS100">
        <f t="shared" si="49"/>
        <v>22</v>
      </c>
      <c r="BT100" t="str">
        <f t="shared" si="50"/>
        <v>High</v>
      </c>
      <c r="BU100" t="s">
        <v>92</v>
      </c>
      <c r="BV100" s="13" t="s">
        <v>99</v>
      </c>
      <c r="BW100" s="9">
        <v>2018</v>
      </c>
      <c r="BX100" s="10" t="s">
        <v>100</v>
      </c>
      <c r="BY100" s="8">
        <v>0.25</v>
      </c>
      <c r="BZ100" t="s">
        <v>94</v>
      </c>
    </row>
    <row r="101" spans="1:78" x14ac:dyDescent="0.25">
      <c r="A101" t="s">
        <v>269</v>
      </c>
      <c r="B101">
        <v>61.268055555555499</v>
      </c>
      <c r="C101">
        <v>28.212777777777699</v>
      </c>
      <c r="D101" s="8">
        <v>6000</v>
      </c>
      <c r="E101" s="8" t="str">
        <f t="shared" si="29"/>
        <v>Large</v>
      </c>
      <c r="F101" t="s">
        <v>79</v>
      </c>
      <c r="G101" t="s">
        <v>188</v>
      </c>
      <c r="H101">
        <v>2021</v>
      </c>
      <c r="I101" t="s">
        <v>98</v>
      </c>
      <c r="J101" t="s">
        <v>82</v>
      </c>
      <c r="L101" t="s">
        <v>121</v>
      </c>
      <c r="M101" t="s">
        <v>85</v>
      </c>
      <c r="N101" t="s">
        <v>85</v>
      </c>
      <c r="O101" t="s">
        <v>85</v>
      </c>
      <c r="P101" t="s">
        <v>84</v>
      </c>
      <c r="Q101" t="s">
        <v>84</v>
      </c>
      <c r="R101" t="s">
        <v>85</v>
      </c>
      <c r="S101" s="8">
        <f t="shared" si="30"/>
        <v>2</v>
      </c>
      <c r="T101" s="8">
        <v>0</v>
      </c>
      <c r="U101" s="8">
        <f t="shared" si="31"/>
        <v>33.333333333333329</v>
      </c>
      <c r="V101" t="str">
        <f t="shared" si="32"/>
        <v>Medium</v>
      </c>
      <c r="X101" t="s">
        <v>84</v>
      </c>
      <c r="Y101" t="s">
        <v>84</v>
      </c>
      <c r="Z101" t="s">
        <v>85</v>
      </c>
      <c r="AA101" t="s">
        <v>85</v>
      </c>
      <c r="AB101" t="s">
        <v>85</v>
      </c>
      <c r="AC101" t="s">
        <v>85</v>
      </c>
      <c r="AD101">
        <f t="shared" si="33"/>
        <v>2</v>
      </c>
      <c r="AE101">
        <f t="shared" si="34"/>
        <v>28.571428571428569</v>
      </c>
      <c r="AF101" t="str">
        <f t="shared" si="44"/>
        <v>Low</v>
      </c>
      <c r="AG101" t="s">
        <v>85</v>
      </c>
      <c r="AH101" t="s">
        <v>85</v>
      </c>
      <c r="AI101" t="s">
        <v>85</v>
      </c>
      <c r="AJ101" t="s">
        <v>85</v>
      </c>
      <c r="AK101" t="s">
        <v>84</v>
      </c>
      <c r="AL101" t="s">
        <v>84</v>
      </c>
      <c r="AM101">
        <f t="shared" si="35"/>
        <v>2</v>
      </c>
      <c r="AN101">
        <f t="shared" si="36"/>
        <v>28.571428571428569</v>
      </c>
      <c r="AO101" t="str">
        <f t="shared" si="45"/>
        <v>Low</v>
      </c>
      <c r="AP101" t="s">
        <v>85</v>
      </c>
      <c r="AQ101" t="s">
        <v>85</v>
      </c>
      <c r="AR101" t="s">
        <v>84</v>
      </c>
      <c r="AS101" t="s">
        <v>84</v>
      </c>
      <c r="AT101" t="s">
        <v>85</v>
      </c>
      <c r="AU101" t="s">
        <v>85</v>
      </c>
      <c r="AV101" t="s">
        <v>85</v>
      </c>
      <c r="AW101">
        <f t="shared" si="37"/>
        <v>2</v>
      </c>
      <c r="AX101">
        <f t="shared" si="38"/>
        <v>28.571428571428569</v>
      </c>
      <c r="AY101" t="str">
        <f t="shared" si="46"/>
        <v>Low</v>
      </c>
      <c r="AZ101" t="s">
        <v>84</v>
      </c>
      <c r="BA101" t="s">
        <v>85</v>
      </c>
      <c r="BB101" t="s">
        <v>85</v>
      </c>
      <c r="BC101" t="s">
        <v>85</v>
      </c>
      <c r="BD101" t="s">
        <v>85</v>
      </c>
      <c r="BE101" t="s">
        <v>84</v>
      </c>
      <c r="BF101" t="s">
        <v>85</v>
      </c>
      <c r="BG101" t="s">
        <v>85</v>
      </c>
      <c r="BH101">
        <f t="shared" si="39"/>
        <v>2</v>
      </c>
      <c r="BI101">
        <f t="shared" si="40"/>
        <v>28.571428571428569</v>
      </c>
      <c r="BJ101" t="str">
        <f t="shared" si="47"/>
        <v>Low</v>
      </c>
      <c r="BK101" t="s">
        <v>85</v>
      </c>
      <c r="BL101" t="s">
        <v>85</v>
      </c>
      <c r="BM101" t="s">
        <v>84</v>
      </c>
      <c r="BN101" t="s">
        <v>85</v>
      </c>
      <c r="BO101">
        <f t="shared" si="41"/>
        <v>1</v>
      </c>
      <c r="BP101">
        <f t="shared" si="42"/>
        <v>14.285714285714285</v>
      </c>
      <c r="BQ101" t="str">
        <f t="shared" si="43"/>
        <v>Low</v>
      </c>
      <c r="BR101">
        <f t="shared" si="48"/>
        <v>29.032258064516132</v>
      </c>
      <c r="BS101">
        <f t="shared" si="49"/>
        <v>9</v>
      </c>
      <c r="BT101" t="str">
        <f t="shared" si="50"/>
        <v>Low</v>
      </c>
      <c r="BU101" t="s">
        <v>92</v>
      </c>
      <c r="BV101" s="13" t="s">
        <v>88</v>
      </c>
      <c r="BX101" s="10" t="s">
        <v>256</v>
      </c>
      <c r="BY101" s="8">
        <v>0.05</v>
      </c>
      <c r="BZ101" t="s">
        <v>94</v>
      </c>
    </row>
    <row r="102" spans="1:78" x14ac:dyDescent="0.25">
      <c r="A102" t="s">
        <v>270</v>
      </c>
      <c r="B102">
        <v>-15.9333333333333</v>
      </c>
      <c r="C102">
        <v>-72.283333333333303</v>
      </c>
      <c r="D102" s="8">
        <v>6010.91</v>
      </c>
      <c r="E102" s="8" t="str">
        <f t="shared" si="29"/>
        <v>Large</v>
      </c>
      <c r="F102" t="s">
        <v>130</v>
      </c>
      <c r="G102" t="s">
        <v>271</v>
      </c>
      <c r="H102">
        <v>2019</v>
      </c>
      <c r="I102" t="s">
        <v>98</v>
      </c>
      <c r="J102" t="s">
        <v>82</v>
      </c>
      <c r="L102" t="s">
        <v>128</v>
      </c>
      <c r="M102" t="s">
        <v>85</v>
      </c>
      <c r="N102" t="s">
        <v>85</v>
      </c>
      <c r="O102" t="s">
        <v>85</v>
      </c>
      <c r="P102" t="s">
        <v>84</v>
      </c>
      <c r="Q102" t="s">
        <v>85</v>
      </c>
      <c r="R102" t="s">
        <v>84</v>
      </c>
      <c r="S102" s="8">
        <f t="shared" si="30"/>
        <v>2</v>
      </c>
      <c r="T102" s="8">
        <v>0</v>
      </c>
      <c r="U102" s="8">
        <f t="shared" si="31"/>
        <v>33.333333333333329</v>
      </c>
      <c r="V102" t="str">
        <f t="shared" si="32"/>
        <v>Medium</v>
      </c>
      <c r="X102" t="s">
        <v>84</v>
      </c>
      <c r="Y102" t="s">
        <v>84</v>
      </c>
      <c r="Z102" t="s">
        <v>85</v>
      </c>
      <c r="AA102" t="s">
        <v>84</v>
      </c>
      <c r="AB102" t="s">
        <v>85</v>
      </c>
      <c r="AC102" t="s">
        <v>85</v>
      </c>
      <c r="AD102">
        <f t="shared" si="33"/>
        <v>3</v>
      </c>
      <c r="AE102">
        <f t="shared" si="34"/>
        <v>42.857142857142854</v>
      </c>
      <c r="AF102" t="str">
        <f t="shared" si="44"/>
        <v>Medium</v>
      </c>
      <c r="AG102" t="s">
        <v>84</v>
      </c>
      <c r="AH102" t="s">
        <v>85</v>
      </c>
      <c r="AI102" t="s">
        <v>85</v>
      </c>
      <c r="AJ102" t="s">
        <v>85</v>
      </c>
      <c r="AK102" t="s">
        <v>85</v>
      </c>
      <c r="AL102" t="s">
        <v>85</v>
      </c>
      <c r="AM102">
        <f t="shared" si="35"/>
        <v>1</v>
      </c>
      <c r="AN102">
        <f t="shared" si="36"/>
        <v>14.285714285714285</v>
      </c>
      <c r="AO102" t="str">
        <f t="shared" si="45"/>
        <v>Low</v>
      </c>
      <c r="AP102" t="s">
        <v>84</v>
      </c>
      <c r="AQ102" t="s">
        <v>85</v>
      </c>
      <c r="AR102" t="s">
        <v>85</v>
      </c>
      <c r="AS102" t="s">
        <v>85</v>
      </c>
      <c r="AT102" t="s">
        <v>85</v>
      </c>
      <c r="AU102" t="s">
        <v>85</v>
      </c>
      <c r="AV102" t="s">
        <v>85</v>
      </c>
      <c r="AW102">
        <f t="shared" si="37"/>
        <v>1</v>
      </c>
      <c r="AX102">
        <f t="shared" si="38"/>
        <v>14.285714285714285</v>
      </c>
      <c r="AY102" t="str">
        <f t="shared" si="46"/>
        <v>Low</v>
      </c>
      <c r="AZ102" t="s">
        <v>84</v>
      </c>
      <c r="BA102" t="s">
        <v>85</v>
      </c>
      <c r="BB102" t="s">
        <v>85</v>
      </c>
      <c r="BC102" t="s">
        <v>85</v>
      </c>
      <c r="BD102" t="s">
        <v>85</v>
      </c>
      <c r="BE102" t="s">
        <v>85</v>
      </c>
      <c r="BF102" t="s">
        <v>85</v>
      </c>
      <c r="BG102" t="s">
        <v>85</v>
      </c>
      <c r="BH102">
        <f t="shared" si="39"/>
        <v>1</v>
      </c>
      <c r="BI102">
        <f t="shared" si="40"/>
        <v>14.285714285714285</v>
      </c>
      <c r="BJ102" t="str">
        <f t="shared" si="47"/>
        <v>Low</v>
      </c>
      <c r="BK102" t="s">
        <v>85</v>
      </c>
      <c r="BL102" t="s">
        <v>85</v>
      </c>
      <c r="BM102" t="s">
        <v>85</v>
      </c>
      <c r="BN102" t="s">
        <v>85</v>
      </c>
      <c r="BO102">
        <f t="shared" si="41"/>
        <v>0</v>
      </c>
      <c r="BP102">
        <f t="shared" si="42"/>
        <v>0</v>
      </c>
      <c r="BQ102" t="str">
        <f t="shared" si="43"/>
        <v>Low</v>
      </c>
      <c r="BR102">
        <f t="shared" si="48"/>
        <v>19.35483870967742</v>
      </c>
      <c r="BS102">
        <f t="shared" si="49"/>
        <v>6</v>
      </c>
      <c r="BT102" t="str">
        <f t="shared" si="50"/>
        <v>Low</v>
      </c>
      <c r="BU102" t="s">
        <v>92</v>
      </c>
      <c r="BV102" s="13" t="s">
        <v>88</v>
      </c>
      <c r="BW102" s="9">
        <v>2023</v>
      </c>
      <c r="BX102" s="10" t="s">
        <v>88</v>
      </c>
      <c r="BY102" s="8">
        <v>0</v>
      </c>
      <c r="BZ102" t="s">
        <v>94</v>
      </c>
    </row>
    <row r="103" spans="1:78" x14ac:dyDescent="0.25">
      <c r="A103" t="s">
        <v>272</v>
      </c>
      <c r="B103">
        <v>43.0456</v>
      </c>
      <c r="C103">
        <v>16.091899999999999</v>
      </c>
      <c r="D103" s="8">
        <v>6661</v>
      </c>
      <c r="E103" s="8" t="str">
        <f t="shared" si="29"/>
        <v>Large</v>
      </c>
      <c r="F103" t="s">
        <v>79</v>
      </c>
      <c r="G103" t="s">
        <v>273</v>
      </c>
      <c r="H103">
        <v>2019</v>
      </c>
      <c r="I103" t="s">
        <v>98</v>
      </c>
      <c r="J103" t="s">
        <v>82</v>
      </c>
      <c r="L103" t="s">
        <v>104</v>
      </c>
      <c r="M103" t="s">
        <v>85</v>
      </c>
      <c r="N103" t="s">
        <v>85</v>
      </c>
      <c r="O103" t="s">
        <v>85</v>
      </c>
      <c r="P103" t="s">
        <v>84</v>
      </c>
      <c r="Q103" t="s">
        <v>84</v>
      </c>
      <c r="R103" t="s">
        <v>85</v>
      </c>
      <c r="S103" s="8">
        <f t="shared" si="30"/>
        <v>2</v>
      </c>
      <c r="T103" s="8">
        <v>0</v>
      </c>
      <c r="U103" s="8">
        <f t="shared" si="31"/>
        <v>33.333333333333329</v>
      </c>
      <c r="V103" t="str">
        <f t="shared" si="32"/>
        <v>Medium</v>
      </c>
      <c r="X103" t="s">
        <v>84</v>
      </c>
      <c r="Y103" t="s">
        <v>84</v>
      </c>
      <c r="Z103" t="s">
        <v>84</v>
      </c>
      <c r="AA103" t="s">
        <v>84</v>
      </c>
      <c r="AB103" t="s">
        <v>84</v>
      </c>
      <c r="AC103" t="s">
        <v>85</v>
      </c>
      <c r="AD103">
        <f t="shared" si="33"/>
        <v>5</v>
      </c>
      <c r="AE103">
        <f t="shared" si="34"/>
        <v>71.428571428571431</v>
      </c>
      <c r="AF103" t="str">
        <f t="shared" si="44"/>
        <v>High</v>
      </c>
      <c r="AG103" t="s">
        <v>85</v>
      </c>
      <c r="AH103" t="s">
        <v>85</v>
      </c>
      <c r="AI103" t="s">
        <v>85</v>
      </c>
      <c r="AJ103" t="s">
        <v>85</v>
      </c>
      <c r="AK103" t="s">
        <v>84</v>
      </c>
      <c r="AL103" t="s">
        <v>85</v>
      </c>
      <c r="AM103">
        <f t="shared" si="35"/>
        <v>1</v>
      </c>
      <c r="AN103">
        <f t="shared" si="36"/>
        <v>14.285714285714285</v>
      </c>
      <c r="AO103" t="str">
        <f t="shared" si="45"/>
        <v>Low</v>
      </c>
      <c r="AP103" t="s">
        <v>85</v>
      </c>
      <c r="AQ103" t="s">
        <v>85</v>
      </c>
      <c r="AR103" t="s">
        <v>84</v>
      </c>
      <c r="AS103" t="s">
        <v>84</v>
      </c>
      <c r="AT103" t="s">
        <v>85</v>
      </c>
      <c r="AU103" t="s">
        <v>84</v>
      </c>
      <c r="AV103" t="s">
        <v>84</v>
      </c>
      <c r="AW103">
        <f t="shared" si="37"/>
        <v>3</v>
      </c>
      <c r="AX103">
        <f t="shared" si="38"/>
        <v>57.142857142857139</v>
      </c>
      <c r="AY103" t="str">
        <f t="shared" si="46"/>
        <v>Medium</v>
      </c>
      <c r="AZ103" t="s">
        <v>84</v>
      </c>
      <c r="BA103" t="s">
        <v>85</v>
      </c>
      <c r="BB103" t="s">
        <v>85</v>
      </c>
      <c r="BC103" t="s">
        <v>85</v>
      </c>
      <c r="BD103" t="s">
        <v>84</v>
      </c>
      <c r="BE103" t="s">
        <v>85</v>
      </c>
      <c r="BF103" t="s">
        <v>84</v>
      </c>
      <c r="BG103" t="s">
        <v>85</v>
      </c>
      <c r="BH103">
        <f t="shared" si="39"/>
        <v>3</v>
      </c>
      <c r="BI103">
        <f t="shared" si="40"/>
        <v>42.857142857142854</v>
      </c>
      <c r="BJ103" t="str">
        <f t="shared" si="47"/>
        <v>Medium</v>
      </c>
      <c r="BK103" t="s">
        <v>84</v>
      </c>
      <c r="BL103" t="s">
        <v>85</v>
      </c>
      <c r="BM103" t="s">
        <v>84</v>
      </c>
      <c r="BN103" t="s">
        <v>84</v>
      </c>
      <c r="BO103">
        <f t="shared" si="41"/>
        <v>3</v>
      </c>
      <c r="BP103">
        <f t="shared" si="42"/>
        <v>42.857142857142854</v>
      </c>
      <c r="BQ103" t="str">
        <f t="shared" si="43"/>
        <v>Medium</v>
      </c>
      <c r="BR103">
        <f t="shared" si="48"/>
        <v>51.612903225806448</v>
      </c>
      <c r="BS103">
        <f t="shared" si="49"/>
        <v>16</v>
      </c>
      <c r="BT103" t="str">
        <f t="shared" si="50"/>
        <v>Moderate</v>
      </c>
      <c r="BU103" t="s">
        <v>105</v>
      </c>
      <c r="BV103" s="13" t="s">
        <v>88</v>
      </c>
      <c r="BW103" s="9">
        <v>2022</v>
      </c>
      <c r="BX103" s="10" t="s">
        <v>88</v>
      </c>
      <c r="BY103" s="8">
        <v>0.2</v>
      </c>
      <c r="BZ103" t="s">
        <v>94</v>
      </c>
    </row>
    <row r="104" spans="1:78" x14ac:dyDescent="0.25">
      <c r="A104" t="s">
        <v>274</v>
      </c>
      <c r="B104">
        <v>48.5</v>
      </c>
      <c r="C104">
        <v>9.4041666666666597</v>
      </c>
      <c r="D104" s="8">
        <v>6688</v>
      </c>
      <c r="E104" s="8" t="str">
        <f t="shared" si="29"/>
        <v>Large</v>
      </c>
      <c r="F104" t="s">
        <v>79</v>
      </c>
      <c r="G104" t="s">
        <v>179</v>
      </c>
      <c r="H104">
        <v>2004</v>
      </c>
      <c r="I104" t="s">
        <v>81</v>
      </c>
      <c r="J104" t="s">
        <v>82</v>
      </c>
      <c r="L104" t="s">
        <v>199</v>
      </c>
      <c r="M104" t="s">
        <v>85</v>
      </c>
      <c r="N104" t="s">
        <v>85</v>
      </c>
      <c r="O104" t="s">
        <v>85</v>
      </c>
      <c r="P104" t="s">
        <v>85</v>
      </c>
      <c r="Q104" t="s">
        <v>85</v>
      </c>
      <c r="R104" t="s">
        <v>85</v>
      </c>
      <c r="S104" s="8">
        <f t="shared" si="30"/>
        <v>0</v>
      </c>
      <c r="T104" s="8">
        <v>0</v>
      </c>
      <c r="U104" s="8">
        <f t="shared" si="31"/>
        <v>0</v>
      </c>
      <c r="V104" t="str">
        <f t="shared" si="32"/>
        <v>Low</v>
      </c>
      <c r="X104" t="s">
        <v>85</v>
      </c>
      <c r="Y104" t="s">
        <v>85</v>
      </c>
      <c r="Z104" t="s">
        <v>85</v>
      </c>
      <c r="AA104" t="s">
        <v>85</v>
      </c>
      <c r="AB104" t="s">
        <v>85</v>
      </c>
      <c r="AC104" t="s">
        <v>85</v>
      </c>
      <c r="AD104">
        <f t="shared" si="33"/>
        <v>0</v>
      </c>
      <c r="AE104">
        <f t="shared" si="34"/>
        <v>0</v>
      </c>
      <c r="AF104" t="str">
        <f t="shared" si="44"/>
        <v>Low</v>
      </c>
      <c r="AG104" t="s">
        <v>85</v>
      </c>
      <c r="AH104" t="s">
        <v>85</v>
      </c>
      <c r="AI104" t="s">
        <v>85</v>
      </c>
      <c r="AJ104" t="s">
        <v>85</v>
      </c>
      <c r="AK104" t="s">
        <v>85</v>
      </c>
      <c r="AL104" t="s">
        <v>85</v>
      </c>
      <c r="AM104">
        <f t="shared" si="35"/>
        <v>0</v>
      </c>
      <c r="AN104">
        <f t="shared" si="36"/>
        <v>0</v>
      </c>
      <c r="AO104" t="str">
        <f t="shared" si="45"/>
        <v>Low</v>
      </c>
      <c r="AP104" t="s">
        <v>85</v>
      </c>
      <c r="AQ104" t="s">
        <v>85</v>
      </c>
      <c r="AR104" t="s">
        <v>85</v>
      </c>
      <c r="AS104" t="s">
        <v>85</v>
      </c>
      <c r="AT104" t="s">
        <v>85</v>
      </c>
      <c r="AU104" t="s">
        <v>85</v>
      </c>
      <c r="AV104" t="s">
        <v>85</v>
      </c>
      <c r="AW104">
        <f t="shared" si="37"/>
        <v>0</v>
      </c>
      <c r="AX104">
        <f t="shared" si="38"/>
        <v>0</v>
      </c>
      <c r="AY104" t="str">
        <f t="shared" si="46"/>
        <v>Low</v>
      </c>
      <c r="AZ104" t="s">
        <v>85</v>
      </c>
      <c r="BA104" t="s">
        <v>85</v>
      </c>
      <c r="BB104" t="s">
        <v>85</v>
      </c>
      <c r="BC104" t="s">
        <v>85</v>
      </c>
      <c r="BD104" t="s">
        <v>85</v>
      </c>
      <c r="BE104" t="s">
        <v>85</v>
      </c>
      <c r="BF104" t="s">
        <v>85</v>
      </c>
      <c r="BG104" t="s">
        <v>85</v>
      </c>
      <c r="BH104">
        <f t="shared" si="39"/>
        <v>0</v>
      </c>
      <c r="BI104">
        <f t="shared" si="40"/>
        <v>0</v>
      </c>
      <c r="BJ104" t="str">
        <f t="shared" si="47"/>
        <v>Low</v>
      </c>
      <c r="BK104" t="s">
        <v>85</v>
      </c>
      <c r="BL104" t="s">
        <v>85</v>
      </c>
      <c r="BM104" t="s">
        <v>85</v>
      </c>
      <c r="BN104" t="s">
        <v>85</v>
      </c>
      <c r="BO104">
        <f t="shared" si="41"/>
        <v>0</v>
      </c>
      <c r="BP104">
        <f t="shared" si="42"/>
        <v>0</v>
      </c>
      <c r="BQ104" t="str">
        <f t="shared" si="43"/>
        <v>Low</v>
      </c>
      <c r="BR104">
        <f t="shared" si="48"/>
        <v>0</v>
      </c>
      <c r="BS104">
        <f t="shared" si="49"/>
        <v>0</v>
      </c>
      <c r="BT104" t="str">
        <f t="shared" si="50"/>
        <v>Low</v>
      </c>
      <c r="BU104" t="s">
        <v>105</v>
      </c>
      <c r="BV104" s="13" t="s">
        <v>88</v>
      </c>
      <c r="BW104" s="9">
        <v>2021</v>
      </c>
      <c r="BX104" s="10" t="s">
        <v>109</v>
      </c>
      <c r="BZ104" t="s">
        <v>101</v>
      </c>
    </row>
    <row r="105" spans="1:78" x14ac:dyDescent="0.25">
      <c r="A105" t="s">
        <v>275</v>
      </c>
      <c r="B105">
        <v>35.82</v>
      </c>
      <c r="C105">
        <v>94.88</v>
      </c>
      <c r="D105" s="8">
        <v>7033.17</v>
      </c>
      <c r="E105" s="8" t="str">
        <f t="shared" si="29"/>
        <v>Large</v>
      </c>
      <c r="F105" t="s">
        <v>96</v>
      </c>
      <c r="G105" t="s">
        <v>97</v>
      </c>
      <c r="H105">
        <v>2014</v>
      </c>
      <c r="I105" t="s">
        <v>103</v>
      </c>
      <c r="J105" t="s">
        <v>10</v>
      </c>
      <c r="K105" t="s">
        <v>126</v>
      </c>
      <c r="L105" t="s">
        <v>239</v>
      </c>
      <c r="M105" t="s">
        <v>85</v>
      </c>
      <c r="N105" t="s">
        <v>85</v>
      </c>
      <c r="O105" t="s">
        <v>85</v>
      </c>
      <c r="P105" t="s">
        <v>85</v>
      </c>
      <c r="Q105" t="s">
        <v>85</v>
      </c>
      <c r="R105" t="s">
        <v>85</v>
      </c>
      <c r="S105" s="8">
        <f t="shared" si="30"/>
        <v>0</v>
      </c>
      <c r="T105" s="8">
        <v>0</v>
      </c>
      <c r="U105" s="8">
        <f t="shared" si="31"/>
        <v>0</v>
      </c>
      <c r="V105" t="str">
        <f t="shared" si="32"/>
        <v>Low</v>
      </c>
      <c r="X105" t="s">
        <v>85</v>
      </c>
      <c r="Y105" t="s">
        <v>85</v>
      </c>
      <c r="Z105" t="s">
        <v>84</v>
      </c>
      <c r="AA105" t="s">
        <v>85</v>
      </c>
      <c r="AB105" t="s">
        <v>84</v>
      </c>
      <c r="AC105" t="s">
        <v>85</v>
      </c>
      <c r="AD105">
        <f t="shared" si="33"/>
        <v>2</v>
      </c>
      <c r="AE105">
        <f t="shared" si="34"/>
        <v>28.571428571428569</v>
      </c>
      <c r="AF105" t="str">
        <f t="shared" si="44"/>
        <v>Low</v>
      </c>
      <c r="AG105" t="s">
        <v>84</v>
      </c>
      <c r="AH105" t="s">
        <v>84</v>
      </c>
      <c r="AI105" t="s">
        <v>84</v>
      </c>
      <c r="AJ105" t="s">
        <v>84</v>
      </c>
      <c r="AK105" t="s">
        <v>84</v>
      </c>
      <c r="AL105" t="s">
        <v>84</v>
      </c>
      <c r="AM105">
        <f t="shared" si="35"/>
        <v>6</v>
      </c>
      <c r="AN105">
        <f t="shared" si="36"/>
        <v>85.714285714285708</v>
      </c>
      <c r="AO105" t="str">
        <f t="shared" si="45"/>
        <v>High</v>
      </c>
      <c r="AP105" t="s">
        <v>84</v>
      </c>
      <c r="AQ105" t="s">
        <v>84</v>
      </c>
      <c r="AR105" t="s">
        <v>84</v>
      </c>
      <c r="AS105" t="s">
        <v>84</v>
      </c>
      <c r="AT105" t="s">
        <v>84</v>
      </c>
      <c r="AU105" t="s">
        <v>85</v>
      </c>
      <c r="AV105" t="s">
        <v>85</v>
      </c>
      <c r="AW105">
        <f t="shared" si="37"/>
        <v>5</v>
      </c>
      <c r="AX105">
        <f t="shared" si="38"/>
        <v>71.428571428571431</v>
      </c>
      <c r="AY105" t="str">
        <f t="shared" si="46"/>
        <v>High</v>
      </c>
      <c r="AZ105" t="s">
        <v>85</v>
      </c>
      <c r="BA105" t="s">
        <v>84</v>
      </c>
      <c r="BB105" t="s">
        <v>84</v>
      </c>
      <c r="BC105" t="s">
        <v>84</v>
      </c>
      <c r="BD105" t="s">
        <v>84</v>
      </c>
      <c r="BE105" t="s">
        <v>84</v>
      </c>
      <c r="BF105" t="s">
        <v>84</v>
      </c>
      <c r="BG105" t="s">
        <v>85</v>
      </c>
      <c r="BH105">
        <f t="shared" si="39"/>
        <v>6</v>
      </c>
      <c r="BI105">
        <f t="shared" si="40"/>
        <v>85.714285714285708</v>
      </c>
      <c r="BJ105" t="str">
        <f t="shared" si="47"/>
        <v>High</v>
      </c>
      <c r="BK105" t="s">
        <v>84</v>
      </c>
      <c r="BL105" t="s">
        <v>84</v>
      </c>
      <c r="BM105" t="s">
        <v>84</v>
      </c>
      <c r="BN105" t="s">
        <v>84</v>
      </c>
      <c r="BO105">
        <f t="shared" si="41"/>
        <v>4</v>
      </c>
      <c r="BP105">
        <f t="shared" si="42"/>
        <v>57.142857142857139</v>
      </c>
      <c r="BQ105" t="str">
        <f t="shared" si="43"/>
        <v>Medium</v>
      </c>
      <c r="BR105">
        <f t="shared" si="48"/>
        <v>74.193548387096769</v>
      </c>
      <c r="BS105">
        <f t="shared" si="49"/>
        <v>23</v>
      </c>
      <c r="BT105" t="str">
        <f t="shared" si="50"/>
        <v>High</v>
      </c>
      <c r="BU105" t="s">
        <v>87</v>
      </c>
      <c r="BV105" s="13" t="s">
        <v>88</v>
      </c>
      <c r="BW105" s="9">
        <v>2018</v>
      </c>
      <c r="BX105" s="10" t="s">
        <v>100</v>
      </c>
      <c r="BY105" s="8">
        <v>0.2</v>
      </c>
      <c r="BZ105" t="s">
        <v>94</v>
      </c>
    </row>
    <row r="106" spans="1:78" x14ac:dyDescent="0.25">
      <c r="A106" t="s">
        <v>276</v>
      </c>
      <c r="B106">
        <v>-45.101002222222199</v>
      </c>
      <c r="C106">
        <v>170.968487222222</v>
      </c>
      <c r="D106" s="8">
        <v>7214</v>
      </c>
      <c r="E106" s="8" t="str">
        <f t="shared" si="29"/>
        <v>Large</v>
      </c>
      <c r="F106" t="s">
        <v>96</v>
      </c>
      <c r="G106" t="s">
        <v>277</v>
      </c>
      <c r="H106">
        <v>2023</v>
      </c>
      <c r="I106" t="s">
        <v>98</v>
      </c>
      <c r="J106" t="s">
        <v>82</v>
      </c>
      <c r="L106" t="s">
        <v>121</v>
      </c>
      <c r="M106" t="s">
        <v>85</v>
      </c>
      <c r="N106" t="s">
        <v>85</v>
      </c>
      <c r="O106" t="s">
        <v>85</v>
      </c>
      <c r="P106" t="s">
        <v>84</v>
      </c>
      <c r="Q106" t="s">
        <v>84</v>
      </c>
      <c r="R106" t="s">
        <v>85</v>
      </c>
      <c r="S106" s="8">
        <f t="shared" si="30"/>
        <v>2</v>
      </c>
      <c r="T106" s="8">
        <v>0</v>
      </c>
      <c r="U106" s="8">
        <f t="shared" si="31"/>
        <v>33.333333333333329</v>
      </c>
      <c r="V106" t="str">
        <f t="shared" si="32"/>
        <v>Medium</v>
      </c>
      <c r="X106" t="s">
        <v>84</v>
      </c>
      <c r="Y106" t="s">
        <v>85</v>
      </c>
      <c r="Z106" t="s">
        <v>84</v>
      </c>
      <c r="AA106" t="s">
        <v>85</v>
      </c>
      <c r="AB106" t="s">
        <v>85</v>
      </c>
      <c r="AC106" t="s">
        <v>85</v>
      </c>
      <c r="AD106">
        <f t="shared" si="33"/>
        <v>2</v>
      </c>
      <c r="AE106">
        <f t="shared" si="34"/>
        <v>28.571428571428569</v>
      </c>
      <c r="AF106" t="str">
        <f t="shared" si="44"/>
        <v>Low</v>
      </c>
      <c r="AG106" t="s">
        <v>85</v>
      </c>
      <c r="AH106" t="s">
        <v>85</v>
      </c>
      <c r="AI106" t="s">
        <v>85</v>
      </c>
      <c r="AJ106" t="s">
        <v>85</v>
      </c>
      <c r="AK106" t="s">
        <v>85</v>
      </c>
      <c r="AL106" t="s">
        <v>85</v>
      </c>
      <c r="AM106">
        <f t="shared" si="35"/>
        <v>0</v>
      </c>
      <c r="AN106">
        <f t="shared" si="36"/>
        <v>0</v>
      </c>
      <c r="AO106" t="str">
        <f t="shared" si="45"/>
        <v>Low</v>
      </c>
      <c r="AP106" t="s">
        <v>85</v>
      </c>
      <c r="AQ106" t="s">
        <v>85</v>
      </c>
      <c r="AR106" t="s">
        <v>85</v>
      </c>
      <c r="AS106" t="s">
        <v>85</v>
      </c>
      <c r="AT106" t="s">
        <v>85</v>
      </c>
      <c r="AU106" t="s">
        <v>85</v>
      </c>
      <c r="AV106" t="s">
        <v>85</v>
      </c>
      <c r="AW106">
        <f t="shared" si="37"/>
        <v>0</v>
      </c>
      <c r="AX106">
        <f t="shared" si="38"/>
        <v>0</v>
      </c>
      <c r="AY106" t="str">
        <f t="shared" si="46"/>
        <v>Low</v>
      </c>
      <c r="AZ106" t="s">
        <v>84</v>
      </c>
      <c r="BA106" t="s">
        <v>85</v>
      </c>
      <c r="BB106" t="s">
        <v>85</v>
      </c>
      <c r="BC106" t="s">
        <v>85</v>
      </c>
      <c r="BD106" t="s">
        <v>85</v>
      </c>
      <c r="BE106" t="s">
        <v>85</v>
      </c>
      <c r="BF106" t="s">
        <v>84</v>
      </c>
      <c r="BG106" t="s">
        <v>84</v>
      </c>
      <c r="BH106">
        <f t="shared" si="39"/>
        <v>3</v>
      </c>
      <c r="BI106">
        <f t="shared" si="40"/>
        <v>42.857142857142854</v>
      </c>
      <c r="BJ106" t="str">
        <f t="shared" si="47"/>
        <v>Medium</v>
      </c>
      <c r="BK106" t="s">
        <v>85</v>
      </c>
      <c r="BL106" t="s">
        <v>85</v>
      </c>
      <c r="BM106" t="s">
        <v>85</v>
      </c>
      <c r="BN106" t="s">
        <v>85</v>
      </c>
      <c r="BO106">
        <f t="shared" si="41"/>
        <v>0</v>
      </c>
      <c r="BP106">
        <f t="shared" si="42"/>
        <v>0</v>
      </c>
      <c r="BQ106" t="str">
        <f t="shared" si="43"/>
        <v>Low</v>
      </c>
      <c r="BR106">
        <f t="shared" si="48"/>
        <v>16.129032258064516</v>
      </c>
      <c r="BS106">
        <f t="shared" si="49"/>
        <v>5</v>
      </c>
      <c r="BT106" t="str">
        <f t="shared" si="50"/>
        <v>Low</v>
      </c>
      <c r="BU106" t="s">
        <v>105</v>
      </c>
      <c r="BV106" s="13" t="s">
        <v>114</v>
      </c>
      <c r="BX106" s="10" t="s">
        <v>115</v>
      </c>
      <c r="BY106" s="8"/>
      <c r="BZ106" t="s">
        <v>87</v>
      </c>
    </row>
    <row r="107" spans="1:78" x14ac:dyDescent="0.25">
      <c r="A107" t="s">
        <v>278</v>
      </c>
      <c r="B107">
        <v>50.857326</v>
      </c>
      <c r="C107">
        <v>10.562830999999999</v>
      </c>
      <c r="D107" s="8">
        <v>7251</v>
      </c>
      <c r="E107" s="8" t="str">
        <f t="shared" si="29"/>
        <v>Large</v>
      </c>
      <c r="F107" t="s">
        <v>79</v>
      </c>
      <c r="G107" t="s">
        <v>179</v>
      </c>
      <c r="H107">
        <v>2021</v>
      </c>
      <c r="I107" t="s">
        <v>98</v>
      </c>
      <c r="J107" t="s">
        <v>91</v>
      </c>
      <c r="L107" t="s">
        <v>121</v>
      </c>
      <c r="M107" t="s">
        <v>84</v>
      </c>
      <c r="N107" t="s">
        <v>84</v>
      </c>
      <c r="O107" t="s">
        <v>84</v>
      </c>
      <c r="P107" t="s">
        <v>85</v>
      </c>
      <c r="Q107" t="s">
        <v>85</v>
      </c>
      <c r="R107" t="s">
        <v>85</v>
      </c>
      <c r="S107" s="8">
        <f t="shared" si="30"/>
        <v>3</v>
      </c>
      <c r="T107" s="8">
        <v>0</v>
      </c>
      <c r="U107" s="8">
        <f t="shared" si="31"/>
        <v>50</v>
      </c>
      <c r="V107" t="str">
        <f t="shared" si="32"/>
        <v>Medium</v>
      </c>
      <c r="X107" t="s">
        <v>85</v>
      </c>
      <c r="Y107" t="s">
        <v>85</v>
      </c>
      <c r="Z107" t="s">
        <v>84</v>
      </c>
      <c r="AA107" t="s">
        <v>84</v>
      </c>
      <c r="AB107" t="s">
        <v>85</v>
      </c>
      <c r="AC107" t="s">
        <v>85</v>
      </c>
      <c r="AD107">
        <f t="shared" si="33"/>
        <v>2</v>
      </c>
      <c r="AE107">
        <f t="shared" si="34"/>
        <v>28.571428571428569</v>
      </c>
      <c r="AF107" t="str">
        <f t="shared" si="44"/>
        <v>Low</v>
      </c>
      <c r="AG107" t="s">
        <v>85</v>
      </c>
      <c r="AH107" t="s">
        <v>85</v>
      </c>
      <c r="AI107" t="s">
        <v>85</v>
      </c>
      <c r="AJ107" t="s">
        <v>84</v>
      </c>
      <c r="AK107" t="s">
        <v>85</v>
      </c>
      <c r="AL107" t="s">
        <v>84</v>
      </c>
      <c r="AM107">
        <f t="shared" si="35"/>
        <v>2</v>
      </c>
      <c r="AN107">
        <f t="shared" si="36"/>
        <v>28.571428571428569</v>
      </c>
      <c r="AO107" t="str">
        <f t="shared" si="45"/>
        <v>Low</v>
      </c>
      <c r="AP107" t="s">
        <v>84</v>
      </c>
      <c r="AQ107" t="s">
        <v>84</v>
      </c>
      <c r="AR107" t="s">
        <v>84</v>
      </c>
      <c r="AS107" t="s">
        <v>85</v>
      </c>
      <c r="AT107" t="s">
        <v>85</v>
      </c>
      <c r="AU107" t="s">
        <v>85</v>
      </c>
      <c r="AV107" t="s">
        <v>85</v>
      </c>
      <c r="AW107">
        <f t="shared" si="37"/>
        <v>3</v>
      </c>
      <c r="AX107">
        <f t="shared" si="38"/>
        <v>42.857142857142854</v>
      </c>
      <c r="AY107" t="str">
        <f t="shared" si="46"/>
        <v>Medium</v>
      </c>
      <c r="AZ107" t="s">
        <v>84</v>
      </c>
      <c r="BA107" t="s">
        <v>85</v>
      </c>
      <c r="BB107" t="s">
        <v>84</v>
      </c>
      <c r="BC107" t="s">
        <v>84</v>
      </c>
      <c r="BD107" t="s">
        <v>85</v>
      </c>
      <c r="BE107" t="s">
        <v>85</v>
      </c>
      <c r="BF107" t="s">
        <v>84</v>
      </c>
      <c r="BG107" t="s">
        <v>85</v>
      </c>
      <c r="BH107">
        <f t="shared" si="39"/>
        <v>4</v>
      </c>
      <c r="BI107">
        <f t="shared" si="40"/>
        <v>57.142857142857139</v>
      </c>
      <c r="BJ107" t="str">
        <f t="shared" si="47"/>
        <v>Medium</v>
      </c>
      <c r="BK107" t="s">
        <v>85</v>
      </c>
      <c r="BL107" t="s">
        <v>85</v>
      </c>
      <c r="BM107" t="s">
        <v>85</v>
      </c>
      <c r="BN107" t="s">
        <v>85</v>
      </c>
      <c r="BO107">
        <f t="shared" si="41"/>
        <v>0</v>
      </c>
      <c r="BP107">
        <f t="shared" si="42"/>
        <v>0</v>
      </c>
      <c r="BQ107" t="str">
        <f t="shared" si="43"/>
        <v>Low</v>
      </c>
      <c r="BR107">
        <f t="shared" si="48"/>
        <v>35.483870967741936</v>
      </c>
      <c r="BS107">
        <f t="shared" si="49"/>
        <v>11</v>
      </c>
      <c r="BT107" t="str">
        <f t="shared" si="50"/>
        <v>Moderate</v>
      </c>
      <c r="BU107" t="s">
        <v>105</v>
      </c>
      <c r="BV107" s="13" t="s">
        <v>93</v>
      </c>
      <c r="BX107" s="10" t="s">
        <v>256</v>
      </c>
      <c r="BY107" s="8">
        <v>0.05</v>
      </c>
      <c r="BZ107" t="s">
        <v>94</v>
      </c>
    </row>
    <row r="108" spans="1:78" x14ac:dyDescent="0.25">
      <c r="A108" t="s">
        <v>279</v>
      </c>
      <c r="B108">
        <v>54.99</v>
      </c>
      <c r="C108">
        <v>-121.38</v>
      </c>
      <c r="D108" s="8">
        <v>7822</v>
      </c>
      <c r="E108" s="8" t="str">
        <f t="shared" si="29"/>
        <v>Large</v>
      </c>
      <c r="F108" t="s">
        <v>138</v>
      </c>
      <c r="G108" t="s">
        <v>139</v>
      </c>
      <c r="H108">
        <v>2014</v>
      </c>
      <c r="I108" t="s">
        <v>103</v>
      </c>
      <c r="J108" t="s">
        <v>10</v>
      </c>
      <c r="K108" t="s">
        <v>280</v>
      </c>
      <c r="L108" t="s">
        <v>104</v>
      </c>
      <c r="M108" t="s">
        <v>85</v>
      </c>
      <c r="N108" t="s">
        <v>85</v>
      </c>
      <c r="O108" t="s">
        <v>85</v>
      </c>
      <c r="P108" t="s">
        <v>85</v>
      </c>
      <c r="Q108" t="s">
        <v>84</v>
      </c>
      <c r="R108" t="s">
        <v>84</v>
      </c>
      <c r="S108" s="8">
        <f t="shared" si="30"/>
        <v>2</v>
      </c>
      <c r="T108" s="8">
        <v>0</v>
      </c>
      <c r="U108" s="8">
        <f t="shared" si="31"/>
        <v>33.333333333333329</v>
      </c>
      <c r="V108" t="str">
        <f t="shared" si="32"/>
        <v>Medium</v>
      </c>
      <c r="W108" t="s">
        <v>281</v>
      </c>
      <c r="X108" t="s">
        <v>84</v>
      </c>
      <c r="Y108" t="s">
        <v>84</v>
      </c>
      <c r="Z108" t="s">
        <v>84</v>
      </c>
      <c r="AA108" t="s">
        <v>84</v>
      </c>
      <c r="AB108" t="s">
        <v>85</v>
      </c>
      <c r="AC108" t="s">
        <v>85</v>
      </c>
      <c r="AD108">
        <f t="shared" si="33"/>
        <v>4</v>
      </c>
      <c r="AE108">
        <f t="shared" si="34"/>
        <v>57.142857142857139</v>
      </c>
      <c r="AF108" t="str">
        <f t="shared" si="44"/>
        <v>Medium</v>
      </c>
      <c r="AG108" t="s">
        <v>84</v>
      </c>
      <c r="AH108" t="s">
        <v>85</v>
      </c>
      <c r="AI108" t="s">
        <v>84</v>
      </c>
      <c r="AJ108" t="s">
        <v>85</v>
      </c>
      <c r="AK108" t="s">
        <v>85</v>
      </c>
      <c r="AL108" t="s">
        <v>84</v>
      </c>
      <c r="AM108">
        <f t="shared" si="35"/>
        <v>3</v>
      </c>
      <c r="AN108">
        <f t="shared" si="36"/>
        <v>42.857142857142854</v>
      </c>
      <c r="AO108" t="str">
        <f t="shared" si="45"/>
        <v>Medium</v>
      </c>
      <c r="AP108" t="s">
        <v>84</v>
      </c>
      <c r="AQ108" t="s">
        <v>84</v>
      </c>
      <c r="AR108" t="s">
        <v>84</v>
      </c>
      <c r="AS108" t="s">
        <v>84</v>
      </c>
      <c r="AT108" t="s">
        <v>85</v>
      </c>
      <c r="AU108" t="s">
        <v>85</v>
      </c>
      <c r="AV108" t="s">
        <v>85</v>
      </c>
      <c r="AW108">
        <f t="shared" si="37"/>
        <v>4</v>
      </c>
      <c r="AX108">
        <f t="shared" si="38"/>
        <v>57.142857142857139</v>
      </c>
      <c r="AY108" t="str">
        <f t="shared" si="46"/>
        <v>Medium</v>
      </c>
      <c r="AZ108" t="s">
        <v>84</v>
      </c>
      <c r="BA108" t="s">
        <v>85</v>
      </c>
      <c r="BB108" t="s">
        <v>84</v>
      </c>
      <c r="BC108" t="s">
        <v>84</v>
      </c>
      <c r="BD108" t="s">
        <v>85</v>
      </c>
      <c r="BE108" t="s">
        <v>85</v>
      </c>
      <c r="BF108" t="s">
        <v>84</v>
      </c>
      <c r="BG108" t="s">
        <v>85</v>
      </c>
      <c r="BH108">
        <f t="shared" si="39"/>
        <v>4</v>
      </c>
      <c r="BI108">
        <f t="shared" si="40"/>
        <v>57.142857142857139</v>
      </c>
      <c r="BJ108" t="str">
        <f t="shared" si="47"/>
        <v>Medium</v>
      </c>
      <c r="BK108" t="s">
        <v>85</v>
      </c>
      <c r="BL108" t="s">
        <v>85</v>
      </c>
      <c r="BM108" t="s">
        <v>85</v>
      </c>
      <c r="BN108" t="s">
        <v>85</v>
      </c>
      <c r="BO108">
        <f t="shared" si="41"/>
        <v>0</v>
      </c>
      <c r="BP108">
        <f t="shared" si="42"/>
        <v>0</v>
      </c>
      <c r="BQ108" t="str">
        <f t="shared" si="43"/>
        <v>Low</v>
      </c>
      <c r="BR108">
        <f t="shared" si="48"/>
        <v>48.387096774193552</v>
      </c>
      <c r="BS108">
        <f t="shared" si="49"/>
        <v>15</v>
      </c>
      <c r="BT108" t="str">
        <f t="shared" si="50"/>
        <v>Moderate</v>
      </c>
      <c r="BU108" t="s">
        <v>105</v>
      </c>
      <c r="BV108" s="13" t="s">
        <v>114</v>
      </c>
      <c r="BW108" s="9">
        <v>2022</v>
      </c>
      <c r="BX108" s="10" t="s">
        <v>88</v>
      </c>
      <c r="BY108" s="8">
        <v>0.05</v>
      </c>
      <c r="BZ108" t="s">
        <v>94</v>
      </c>
    </row>
    <row r="109" spans="1:78" x14ac:dyDescent="0.25">
      <c r="A109" t="s">
        <v>282</v>
      </c>
      <c r="B109">
        <v>-38.658611111111099</v>
      </c>
      <c r="C109">
        <v>-71.820277777777704</v>
      </c>
      <c r="D109" s="8">
        <v>8053</v>
      </c>
      <c r="E109" s="8" t="str">
        <f t="shared" si="29"/>
        <v>Large</v>
      </c>
      <c r="F109" t="s">
        <v>130</v>
      </c>
      <c r="G109" t="s">
        <v>283</v>
      </c>
      <c r="H109">
        <v>2019</v>
      </c>
      <c r="I109" t="s">
        <v>98</v>
      </c>
      <c r="J109" t="s">
        <v>82</v>
      </c>
      <c r="L109" t="s">
        <v>104</v>
      </c>
      <c r="M109" t="s">
        <v>84</v>
      </c>
      <c r="N109" t="s">
        <v>84</v>
      </c>
      <c r="O109" t="s">
        <v>84</v>
      </c>
      <c r="P109" t="s">
        <v>84</v>
      </c>
      <c r="Q109" t="s">
        <v>84</v>
      </c>
      <c r="R109" t="s">
        <v>84</v>
      </c>
      <c r="S109" s="8">
        <f t="shared" si="30"/>
        <v>6</v>
      </c>
      <c r="T109" s="8">
        <v>0</v>
      </c>
      <c r="U109" s="8">
        <f t="shared" si="31"/>
        <v>100</v>
      </c>
      <c r="V109" t="str">
        <f t="shared" si="32"/>
        <v>High</v>
      </c>
      <c r="X109" t="s">
        <v>84</v>
      </c>
      <c r="Y109" t="s">
        <v>84</v>
      </c>
      <c r="Z109" t="s">
        <v>84</v>
      </c>
      <c r="AA109" t="s">
        <v>84</v>
      </c>
      <c r="AB109" t="s">
        <v>85</v>
      </c>
      <c r="AC109" t="s">
        <v>85</v>
      </c>
      <c r="AD109">
        <f t="shared" si="33"/>
        <v>4</v>
      </c>
      <c r="AE109">
        <f t="shared" si="34"/>
        <v>57.142857142857139</v>
      </c>
      <c r="AF109" t="str">
        <f t="shared" si="44"/>
        <v>Medium</v>
      </c>
      <c r="AG109" t="s">
        <v>84</v>
      </c>
      <c r="AH109" t="s">
        <v>84</v>
      </c>
      <c r="AI109" t="s">
        <v>84</v>
      </c>
      <c r="AJ109" t="s">
        <v>84</v>
      </c>
      <c r="AK109" t="s">
        <v>84</v>
      </c>
      <c r="AL109" t="s">
        <v>84</v>
      </c>
      <c r="AM109">
        <f t="shared" si="35"/>
        <v>6</v>
      </c>
      <c r="AN109">
        <f t="shared" si="36"/>
        <v>85.714285714285708</v>
      </c>
      <c r="AO109" t="str">
        <f t="shared" si="45"/>
        <v>High</v>
      </c>
      <c r="AP109" t="s">
        <v>84</v>
      </c>
      <c r="AQ109" t="s">
        <v>84</v>
      </c>
      <c r="AR109" t="s">
        <v>84</v>
      </c>
      <c r="AS109" t="s">
        <v>84</v>
      </c>
      <c r="AT109" t="s">
        <v>84</v>
      </c>
      <c r="AU109" t="s">
        <v>84</v>
      </c>
      <c r="AV109" t="s">
        <v>84</v>
      </c>
      <c r="AW109">
        <f t="shared" si="37"/>
        <v>6</v>
      </c>
      <c r="AX109">
        <f t="shared" si="38"/>
        <v>100</v>
      </c>
      <c r="AY109" t="str">
        <f t="shared" si="46"/>
        <v>High</v>
      </c>
      <c r="AZ109" t="s">
        <v>85</v>
      </c>
      <c r="BA109" t="s">
        <v>85</v>
      </c>
      <c r="BB109" t="s">
        <v>85</v>
      </c>
      <c r="BC109" t="s">
        <v>85</v>
      </c>
      <c r="BD109" t="s">
        <v>84</v>
      </c>
      <c r="BE109" t="s">
        <v>84</v>
      </c>
      <c r="BF109" t="s">
        <v>85</v>
      </c>
      <c r="BG109" t="s">
        <v>85</v>
      </c>
      <c r="BH109">
        <f t="shared" si="39"/>
        <v>2</v>
      </c>
      <c r="BI109">
        <f t="shared" si="40"/>
        <v>28.571428571428569</v>
      </c>
      <c r="BJ109" t="str">
        <f t="shared" si="47"/>
        <v>Low</v>
      </c>
      <c r="BK109" t="s">
        <v>84</v>
      </c>
      <c r="BL109" t="s">
        <v>84</v>
      </c>
      <c r="BM109" t="s">
        <v>84</v>
      </c>
      <c r="BN109" t="s">
        <v>84</v>
      </c>
      <c r="BO109">
        <f t="shared" si="41"/>
        <v>4</v>
      </c>
      <c r="BP109">
        <f t="shared" si="42"/>
        <v>57.142857142857139</v>
      </c>
      <c r="BQ109" t="str">
        <f t="shared" si="43"/>
        <v>Medium</v>
      </c>
      <c r="BR109">
        <f t="shared" si="48"/>
        <v>74.193548387096769</v>
      </c>
      <c r="BS109">
        <f t="shared" si="49"/>
        <v>23</v>
      </c>
      <c r="BT109" t="str">
        <f t="shared" si="50"/>
        <v>High</v>
      </c>
      <c r="BU109" t="s">
        <v>105</v>
      </c>
      <c r="BV109" s="13" t="s">
        <v>99</v>
      </c>
      <c r="BW109" s="9">
        <v>2023</v>
      </c>
      <c r="BX109" s="10" t="s">
        <v>88</v>
      </c>
      <c r="BZ109" t="s">
        <v>101</v>
      </c>
    </row>
    <row r="110" spans="1:78" x14ac:dyDescent="0.25">
      <c r="A110" t="s">
        <v>284</v>
      </c>
      <c r="B110">
        <v>63.630555555555503</v>
      </c>
      <c r="C110">
        <v>-19.621111111111102</v>
      </c>
      <c r="D110" s="8">
        <v>9542</v>
      </c>
      <c r="E110" s="8" t="str">
        <f t="shared" si="29"/>
        <v>Large</v>
      </c>
      <c r="F110" t="s">
        <v>79</v>
      </c>
      <c r="G110" t="s">
        <v>157</v>
      </c>
      <c r="H110">
        <v>2011</v>
      </c>
      <c r="I110" t="s">
        <v>103</v>
      </c>
      <c r="J110" t="s">
        <v>82</v>
      </c>
      <c r="L110" s="12" t="s">
        <v>83</v>
      </c>
      <c r="M110" t="s">
        <v>84</v>
      </c>
      <c r="N110" t="s">
        <v>84</v>
      </c>
      <c r="O110" t="s">
        <v>85</v>
      </c>
      <c r="P110" s="12" t="s">
        <v>84</v>
      </c>
      <c r="Q110" t="s">
        <v>84</v>
      </c>
      <c r="R110" s="12" t="s">
        <v>84</v>
      </c>
      <c r="S110" s="8">
        <f t="shared" si="30"/>
        <v>5</v>
      </c>
      <c r="T110" s="8">
        <v>0</v>
      </c>
      <c r="U110" s="8">
        <f t="shared" si="31"/>
        <v>83.333333333333343</v>
      </c>
      <c r="V110" t="str">
        <f t="shared" si="32"/>
        <v>High</v>
      </c>
      <c r="X110" t="s">
        <v>84</v>
      </c>
      <c r="Y110" t="s">
        <v>85</v>
      </c>
      <c r="Z110" t="s">
        <v>84</v>
      </c>
      <c r="AA110" t="s">
        <v>84</v>
      </c>
      <c r="AB110" t="s">
        <v>85</v>
      </c>
      <c r="AC110" t="s">
        <v>85</v>
      </c>
      <c r="AD110">
        <f t="shared" si="33"/>
        <v>3</v>
      </c>
      <c r="AE110">
        <f t="shared" si="34"/>
        <v>42.857142857142854</v>
      </c>
      <c r="AF110" t="str">
        <f t="shared" si="44"/>
        <v>Medium</v>
      </c>
      <c r="AG110" t="s">
        <v>85</v>
      </c>
      <c r="AH110" s="12" t="s">
        <v>84</v>
      </c>
      <c r="AI110" t="s">
        <v>85</v>
      </c>
      <c r="AJ110" t="s">
        <v>85</v>
      </c>
      <c r="AK110" t="s">
        <v>84</v>
      </c>
      <c r="AL110" s="12" t="s">
        <v>84</v>
      </c>
      <c r="AM110">
        <f t="shared" si="35"/>
        <v>3</v>
      </c>
      <c r="AN110">
        <f t="shared" si="36"/>
        <v>42.857142857142854</v>
      </c>
      <c r="AO110" t="str">
        <f t="shared" si="45"/>
        <v>Medium</v>
      </c>
      <c r="AP110" t="s">
        <v>84</v>
      </c>
      <c r="AQ110" s="12" t="s">
        <v>84</v>
      </c>
      <c r="AR110" t="s">
        <v>84</v>
      </c>
      <c r="AS110" t="s">
        <v>85</v>
      </c>
      <c r="AT110" t="s">
        <v>85</v>
      </c>
      <c r="AU110" t="s">
        <v>84</v>
      </c>
      <c r="AV110" t="s">
        <v>84</v>
      </c>
      <c r="AW110">
        <f t="shared" si="37"/>
        <v>4</v>
      </c>
      <c r="AX110">
        <f t="shared" si="38"/>
        <v>71.428571428571431</v>
      </c>
      <c r="AY110" t="str">
        <f t="shared" si="46"/>
        <v>High</v>
      </c>
      <c r="AZ110" t="s">
        <v>84</v>
      </c>
      <c r="BA110" t="s">
        <v>85</v>
      </c>
      <c r="BB110" s="12" t="s">
        <v>84</v>
      </c>
      <c r="BC110" t="s">
        <v>85</v>
      </c>
      <c r="BD110" t="s">
        <v>84</v>
      </c>
      <c r="BE110" t="s">
        <v>84</v>
      </c>
      <c r="BF110" t="s">
        <v>85</v>
      </c>
      <c r="BG110" t="s">
        <v>84</v>
      </c>
      <c r="BH110">
        <f t="shared" si="39"/>
        <v>5</v>
      </c>
      <c r="BI110">
        <f t="shared" si="40"/>
        <v>71.428571428571431</v>
      </c>
      <c r="BJ110" t="str">
        <f t="shared" si="47"/>
        <v>High</v>
      </c>
      <c r="BK110" t="s">
        <v>84</v>
      </c>
      <c r="BL110" t="s">
        <v>84</v>
      </c>
      <c r="BM110" t="s">
        <v>84</v>
      </c>
      <c r="BN110" t="s">
        <v>84</v>
      </c>
      <c r="BO110">
        <f t="shared" si="41"/>
        <v>4</v>
      </c>
      <c r="BP110">
        <f t="shared" si="42"/>
        <v>57.142857142857139</v>
      </c>
      <c r="BQ110" t="str">
        <f t="shared" si="43"/>
        <v>Medium</v>
      </c>
      <c r="BR110">
        <f t="shared" si="48"/>
        <v>64.516129032258064</v>
      </c>
      <c r="BS110">
        <f t="shared" si="49"/>
        <v>20</v>
      </c>
      <c r="BT110" t="str">
        <f t="shared" si="50"/>
        <v>Moderate</v>
      </c>
      <c r="BU110" t="s">
        <v>105</v>
      </c>
      <c r="BV110" s="13" t="s">
        <v>114</v>
      </c>
      <c r="BW110" s="9">
        <v>2019</v>
      </c>
      <c r="BX110" s="10" t="s">
        <v>100</v>
      </c>
      <c r="BY110" s="8">
        <v>0.35</v>
      </c>
      <c r="BZ110" t="s">
        <v>94</v>
      </c>
    </row>
    <row r="111" spans="1:78" x14ac:dyDescent="0.25">
      <c r="A111" t="s">
        <v>285</v>
      </c>
      <c r="B111">
        <v>65.056899999999999</v>
      </c>
      <c r="C111">
        <v>11.558299999999999</v>
      </c>
      <c r="D111" s="8">
        <v>10082</v>
      </c>
      <c r="E111" s="8" t="str">
        <f t="shared" si="29"/>
        <v>Very Large</v>
      </c>
      <c r="F111" t="s">
        <v>79</v>
      </c>
      <c r="G111" t="s">
        <v>235</v>
      </c>
      <c r="H111">
        <v>2019</v>
      </c>
      <c r="I111" t="s">
        <v>98</v>
      </c>
      <c r="J111" t="s">
        <v>82</v>
      </c>
      <c r="L111" t="s">
        <v>83</v>
      </c>
      <c r="M111" t="s">
        <v>84</v>
      </c>
      <c r="N111" t="s">
        <v>85</v>
      </c>
      <c r="O111" t="s">
        <v>85</v>
      </c>
      <c r="P111" t="s">
        <v>84</v>
      </c>
      <c r="Q111" t="s">
        <v>84</v>
      </c>
      <c r="R111" t="s">
        <v>84</v>
      </c>
      <c r="S111" s="8">
        <f t="shared" si="30"/>
        <v>4</v>
      </c>
      <c r="T111" s="8">
        <v>0</v>
      </c>
      <c r="U111" s="8">
        <f t="shared" si="31"/>
        <v>66.666666666666657</v>
      </c>
      <c r="V111" t="str">
        <f t="shared" si="32"/>
        <v>Medium</v>
      </c>
      <c r="X111" t="s">
        <v>84</v>
      </c>
      <c r="Y111" t="s">
        <v>84</v>
      </c>
      <c r="Z111" t="s">
        <v>84</v>
      </c>
      <c r="AA111" t="s">
        <v>84</v>
      </c>
      <c r="AB111" t="s">
        <v>85</v>
      </c>
      <c r="AC111" t="s">
        <v>85</v>
      </c>
      <c r="AD111">
        <f t="shared" si="33"/>
        <v>4</v>
      </c>
      <c r="AE111">
        <f t="shared" si="34"/>
        <v>57.142857142857139</v>
      </c>
      <c r="AF111" t="str">
        <f t="shared" si="44"/>
        <v>Medium</v>
      </c>
      <c r="AG111" t="s">
        <v>85</v>
      </c>
      <c r="AH111" t="s">
        <v>84</v>
      </c>
      <c r="AI111" t="s">
        <v>85</v>
      </c>
      <c r="AJ111" t="s">
        <v>84</v>
      </c>
      <c r="AK111" t="s">
        <v>84</v>
      </c>
      <c r="AL111" t="s">
        <v>84</v>
      </c>
      <c r="AM111">
        <f t="shared" si="35"/>
        <v>4</v>
      </c>
      <c r="AN111">
        <f t="shared" si="36"/>
        <v>57.142857142857139</v>
      </c>
      <c r="AO111" t="str">
        <f t="shared" si="45"/>
        <v>Medium</v>
      </c>
      <c r="AP111" t="s">
        <v>85</v>
      </c>
      <c r="AQ111" t="s">
        <v>85</v>
      </c>
      <c r="AR111" t="s">
        <v>85</v>
      </c>
      <c r="AS111" t="s">
        <v>84</v>
      </c>
      <c r="AT111" t="s">
        <v>85</v>
      </c>
      <c r="AU111" t="s">
        <v>85</v>
      </c>
      <c r="AV111" t="s">
        <v>85</v>
      </c>
      <c r="AW111">
        <f t="shared" si="37"/>
        <v>1</v>
      </c>
      <c r="AX111">
        <f t="shared" si="38"/>
        <v>14.285714285714285</v>
      </c>
      <c r="AY111" t="str">
        <f t="shared" si="46"/>
        <v>Low</v>
      </c>
      <c r="AZ111" t="s">
        <v>84</v>
      </c>
      <c r="BA111" t="s">
        <v>84</v>
      </c>
      <c r="BB111" t="s">
        <v>85</v>
      </c>
      <c r="BC111" t="s">
        <v>85</v>
      </c>
      <c r="BD111" t="s">
        <v>85</v>
      </c>
      <c r="BE111" t="s">
        <v>84</v>
      </c>
      <c r="BF111" t="s">
        <v>85</v>
      </c>
      <c r="BG111" t="s">
        <v>85</v>
      </c>
      <c r="BH111">
        <f t="shared" si="39"/>
        <v>3</v>
      </c>
      <c r="BI111">
        <f t="shared" si="40"/>
        <v>42.857142857142854</v>
      </c>
      <c r="BJ111" t="str">
        <f t="shared" si="47"/>
        <v>Medium</v>
      </c>
      <c r="BK111" t="s">
        <v>85</v>
      </c>
      <c r="BL111" t="s">
        <v>84</v>
      </c>
      <c r="BM111" t="s">
        <v>85</v>
      </c>
      <c r="BN111" t="s">
        <v>84</v>
      </c>
      <c r="BO111">
        <f t="shared" si="41"/>
        <v>2</v>
      </c>
      <c r="BP111">
        <f t="shared" si="42"/>
        <v>28.571428571428569</v>
      </c>
      <c r="BQ111" t="str">
        <f t="shared" si="43"/>
        <v>Low</v>
      </c>
      <c r="BR111">
        <f t="shared" si="48"/>
        <v>45.161290322580641</v>
      </c>
      <c r="BS111">
        <f t="shared" si="49"/>
        <v>14</v>
      </c>
      <c r="BT111" t="str">
        <f t="shared" si="50"/>
        <v>Moderate</v>
      </c>
      <c r="BU111" t="s">
        <v>105</v>
      </c>
      <c r="BV111" s="13" t="s">
        <v>88</v>
      </c>
      <c r="BW111" s="9">
        <v>2022</v>
      </c>
      <c r="BX111" s="10" t="s">
        <v>88</v>
      </c>
      <c r="BY111" s="8">
        <v>0.05</v>
      </c>
      <c r="BZ111" t="s">
        <v>94</v>
      </c>
    </row>
    <row r="112" spans="1:78" x14ac:dyDescent="0.25">
      <c r="A112" t="s">
        <v>286</v>
      </c>
      <c r="B112">
        <v>-3</v>
      </c>
      <c r="C112">
        <v>35.3333333333333</v>
      </c>
      <c r="D112" s="8">
        <v>11886</v>
      </c>
      <c r="E112" s="8" t="str">
        <f t="shared" si="29"/>
        <v>Very Large</v>
      </c>
      <c r="F112" t="s">
        <v>265</v>
      </c>
      <c r="G112" t="s">
        <v>287</v>
      </c>
      <c r="H112">
        <v>2018</v>
      </c>
      <c r="I112" t="s">
        <v>98</v>
      </c>
      <c r="J112" t="s">
        <v>91</v>
      </c>
      <c r="L112" t="s">
        <v>121</v>
      </c>
      <c r="M112" t="s">
        <v>85</v>
      </c>
      <c r="N112" t="s">
        <v>85</v>
      </c>
      <c r="O112" t="s">
        <v>85</v>
      </c>
      <c r="P112" t="s">
        <v>85</v>
      </c>
      <c r="Q112" t="s">
        <v>84</v>
      </c>
      <c r="R112" t="s">
        <v>85</v>
      </c>
      <c r="S112" s="8">
        <f t="shared" si="30"/>
        <v>1</v>
      </c>
      <c r="T112" s="8">
        <v>0</v>
      </c>
      <c r="U112" s="8">
        <f t="shared" si="31"/>
        <v>16.666666666666664</v>
      </c>
      <c r="V112" t="str">
        <f t="shared" si="32"/>
        <v>Low</v>
      </c>
      <c r="X112" t="s">
        <v>84</v>
      </c>
      <c r="Y112" t="s">
        <v>84</v>
      </c>
      <c r="Z112" t="s">
        <v>85</v>
      </c>
      <c r="AA112" t="s">
        <v>85</v>
      </c>
      <c r="AB112" t="s">
        <v>85</v>
      </c>
      <c r="AC112" t="s">
        <v>85</v>
      </c>
      <c r="AD112">
        <f t="shared" si="33"/>
        <v>2</v>
      </c>
      <c r="AE112">
        <f t="shared" si="34"/>
        <v>28.571428571428569</v>
      </c>
      <c r="AF112" t="str">
        <f t="shared" si="44"/>
        <v>Low</v>
      </c>
      <c r="AG112" t="s">
        <v>85</v>
      </c>
      <c r="AH112" t="s">
        <v>85</v>
      </c>
      <c r="AI112" t="s">
        <v>85</v>
      </c>
      <c r="AJ112" t="s">
        <v>85</v>
      </c>
      <c r="AK112" t="s">
        <v>84</v>
      </c>
      <c r="AL112" t="s">
        <v>85</v>
      </c>
      <c r="AM112">
        <f t="shared" si="35"/>
        <v>1</v>
      </c>
      <c r="AN112">
        <f t="shared" si="36"/>
        <v>14.285714285714285</v>
      </c>
      <c r="AO112" t="str">
        <f t="shared" si="45"/>
        <v>Low</v>
      </c>
      <c r="AP112" t="s">
        <v>85</v>
      </c>
      <c r="AQ112" t="s">
        <v>85</v>
      </c>
      <c r="AR112" t="s">
        <v>85</v>
      </c>
      <c r="AS112" t="s">
        <v>84</v>
      </c>
      <c r="AT112" t="s">
        <v>85</v>
      </c>
      <c r="AU112" t="s">
        <v>85</v>
      </c>
      <c r="AV112" t="s">
        <v>85</v>
      </c>
      <c r="AW112">
        <f t="shared" si="37"/>
        <v>1</v>
      </c>
      <c r="AX112">
        <f t="shared" si="38"/>
        <v>14.285714285714285</v>
      </c>
      <c r="AY112" t="str">
        <f t="shared" si="46"/>
        <v>Low</v>
      </c>
      <c r="AZ112" t="s">
        <v>84</v>
      </c>
      <c r="BA112" t="s">
        <v>85</v>
      </c>
      <c r="BB112" t="s">
        <v>85</v>
      </c>
      <c r="BC112" t="s">
        <v>85</v>
      </c>
      <c r="BD112" t="s">
        <v>85</v>
      </c>
      <c r="BE112" t="s">
        <v>85</v>
      </c>
      <c r="BF112" t="s">
        <v>85</v>
      </c>
      <c r="BG112" t="s">
        <v>85</v>
      </c>
      <c r="BH112">
        <f t="shared" si="39"/>
        <v>1</v>
      </c>
      <c r="BI112">
        <f t="shared" si="40"/>
        <v>14.285714285714285</v>
      </c>
      <c r="BJ112" t="str">
        <f t="shared" si="47"/>
        <v>Low</v>
      </c>
      <c r="BK112" t="s">
        <v>85</v>
      </c>
      <c r="BL112" t="s">
        <v>85</v>
      </c>
      <c r="BM112" t="s">
        <v>85</v>
      </c>
      <c r="BN112" t="s">
        <v>85</v>
      </c>
      <c r="BO112">
        <f t="shared" si="41"/>
        <v>0</v>
      </c>
      <c r="BP112">
        <f t="shared" si="42"/>
        <v>0</v>
      </c>
      <c r="BQ112" t="str">
        <f t="shared" si="43"/>
        <v>Low</v>
      </c>
      <c r="BR112">
        <f t="shared" si="48"/>
        <v>16.129032258064516</v>
      </c>
      <c r="BS112">
        <f t="shared" si="49"/>
        <v>5</v>
      </c>
      <c r="BT112" t="str">
        <f t="shared" si="50"/>
        <v>Low</v>
      </c>
      <c r="BU112" t="s">
        <v>92</v>
      </c>
      <c r="BV112" s="13" t="s">
        <v>114</v>
      </c>
      <c r="BW112" s="9">
        <v>2022</v>
      </c>
      <c r="BX112" s="10" t="s">
        <v>88</v>
      </c>
      <c r="BY112" s="8">
        <v>0.2</v>
      </c>
      <c r="BZ112" t="s">
        <v>94</v>
      </c>
    </row>
    <row r="113" spans="1:78" x14ac:dyDescent="0.25">
      <c r="A113" t="s">
        <v>288</v>
      </c>
      <c r="B113">
        <v>-0.15106194444444401</v>
      </c>
      <c r="C113">
        <v>131.03118888888801</v>
      </c>
      <c r="D113" s="8">
        <v>36660</v>
      </c>
      <c r="E113" s="8" t="str">
        <f t="shared" si="29"/>
        <v>Very Large</v>
      </c>
      <c r="F113" t="s">
        <v>96</v>
      </c>
      <c r="G113" t="s">
        <v>181</v>
      </c>
      <c r="H113">
        <v>2023</v>
      </c>
      <c r="I113" t="s">
        <v>98</v>
      </c>
      <c r="J113" t="s">
        <v>10</v>
      </c>
      <c r="K113" t="s">
        <v>289</v>
      </c>
      <c r="L113" t="s">
        <v>83</v>
      </c>
      <c r="M113" t="s">
        <v>84</v>
      </c>
      <c r="N113" t="s">
        <v>85</v>
      </c>
      <c r="O113" t="s">
        <v>85</v>
      </c>
      <c r="P113" t="s">
        <v>85</v>
      </c>
      <c r="Q113" t="s">
        <v>84</v>
      </c>
      <c r="R113" t="s">
        <v>84</v>
      </c>
      <c r="S113" s="8">
        <f t="shared" si="30"/>
        <v>3</v>
      </c>
      <c r="T113" s="8">
        <v>0</v>
      </c>
      <c r="U113" s="8">
        <f t="shared" si="31"/>
        <v>50</v>
      </c>
      <c r="V113" t="str">
        <f t="shared" si="32"/>
        <v>Medium</v>
      </c>
      <c r="X113" t="s">
        <v>86</v>
      </c>
      <c r="Y113" t="s">
        <v>86</v>
      </c>
      <c r="Z113" t="s">
        <v>86</v>
      </c>
      <c r="AA113" t="s">
        <v>86</v>
      </c>
      <c r="AB113" t="s">
        <v>86</v>
      </c>
      <c r="AC113" t="s">
        <v>86</v>
      </c>
      <c r="AD113">
        <f t="shared" si="33"/>
        <v>0</v>
      </c>
      <c r="AE113">
        <f t="shared" si="34"/>
        <v>0</v>
      </c>
      <c r="AF113" t="s">
        <v>86</v>
      </c>
      <c r="AG113" t="s">
        <v>86</v>
      </c>
      <c r="AH113" t="s">
        <v>86</v>
      </c>
      <c r="AI113" t="s">
        <v>86</v>
      </c>
      <c r="AJ113" t="s">
        <v>86</v>
      </c>
      <c r="AK113" t="s">
        <v>86</v>
      </c>
      <c r="AL113" t="s">
        <v>86</v>
      </c>
      <c r="AM113">
        <f t="shared" si="35"/>
        <v>0</v>
      </c>
      <c r="AN113">
        <f t="shared" si="36"/>
        <v>0</v>
      </c>
      <c r="AO113" t="s">
        <v>86</v>
      </c>
      <c r="AP113" t="s">
        <v>86</v>
      </c>
      <c r="AQ113" t="s">
        <v>86</v>
      </c>
      <c r="AR113" t="s">
        <v>86</v>
      </c>
      <c r="AS113" t="s">
        <v>86</v>
      </c>
      <c r="AT113" t="s">
        <v>86</v>
      </c>
      <c r="AU113" t="s">
        <v>86</v>
      </c>
      <c r="AV113" t="s">
        <v>86</v>
      </c>
      <c r="AW113">
        <f t="shared" si="37"/>
        <v>0</v>
      </c>
      <c r="AX113">
        <f t="shared" si="38"/>
        <v>0</v>
      </c>
      <c r="AY113" t="s">
        <v>86</v>
      </c>
      <c r="AZ113" t="s">
        <v>86</v>
      </c>
      <c r="BA113" t="s">
        <v>86</v>
      </c>
      <c r="BB113" t="s">
        <v>86</v>
      </c>
      <c r="BC113" t="s">
        <v>86</v>
      </c>
      <c r="BD113" t="s">
        <v>86</v>
      </c>
      <c r="BE113" t="s">
        <v>86</v>
      </c>
      <c r="BF113" t="s">
        <v>86</v>
      </c>
      <c r="BG113" t="s">
        <v>86</v>
      </c>
      <c r="BH113">
        <f t="shared" si="39"/>
        <v>0</v>
      </c>
      <c r="BI113">
        <f t="shared" si="40"/>
        <v>0</v>
      </c>
      <c r="BJ113" t="s">
        <v>86</v>
      </c>
      <c r="BK113" t="s">
        <v>86</v>
      </c>
      <c r="BL113" t="s">
        <v>86</v>
      </c>
      <c r="BM113" t="s">
        <v>86</v>
      </c>
      <c r="BN113" t="s">
        <v>86</v>
      </c>
      <c r="BO113">
        <f t="shared" si="41"/>
        <v>0</v>
      </c>
      <c r="BP113">
        <f t="shared" si="42"/>
        <v>0</v>
      </c>
      <c r="BQ113" t="str">
        <f t="shared" si="43"/>
        <v>Low</v>
      </c>
      <c r="BR113" t="s">
        <v>86</v>
      </c>
      <c r="BS113" t="s">
        <v>86</v>
      </c>
      <c r="BT113" t="s">
        <v>86</v>
      </c>
      <c r="BU113" t="s">
        <v>87</v>
      </c>
      <c r="BV113" t="s">
        <v>87</v>
      </c>
      <c r="BX113" s="10" t="s">
        <v>115</v>
      </c>
      <c r="BZ113" t="s">
        <v>87</v>
      </c>
    </row>
    <row r="114" spans="1:78" x14ac:dyDescent="0.25">
      <c r="S114" s="8"/>
      <c r="T114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 UGGp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Williams</dc:creator>
  <cp:lastModifiedBy>Mark Williams</cp:lastModifiedBy>
  <dcterms:created xsi:type="dcterms:W3CDTF">2026-03-29T00:21:10Z</dcterms:created>
  <dcterms:modified xsi:type="dcterms:W3CDTF">2026-03-29T00:27:11Z</dcterms:modified>
</cp:coreProperties>
</file>