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ersitytasmania-my.sharepoint.com/personal/mark_williams_utas_edu_au/Documents/Research/PhD/Data/Role of Digital Tools Questionnaire/GitHub/"/>
    </mc:Choice>
  </mc:AlternateContent>
  <xr:revisionPtr revIDLastSave="256" documentId="8_{84227A50-3343-4413-8418-741DB479B47B}" xr6:coauthVersionLast="47" xr6:coauthVersionMax="47" xr10:uidLastSave="{90D57E9B-94BA-4B16-A566-477580404FD3}"/>
  <bookViews>
    <workbookView xWindow="28680" yWindow="-120" windowWidth="29040" windowHeight="15720" xr2:uid="{52E79914-F451-47B5-AA49-F275217FA065}"/>
  </bookViews>
  <sheets>
    <sheet name="Cleaned Data UGG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" i="1" l="1"/>
  <c r="BB2" i="1"/>
  <c r="BD2" i="1"/>
  <c r="U46" i="1"/>
  <c r="S46" i="1"/>
  <c r="E46" i="1"/>
  <c r="BC81" i="1"/>
  <c r="BB81" i="1"/>
  <c r="BD81" i="1" s="1"/>
  <c r="U93" i="1"/>
  <c r="S93" i="1"/>
  <c r="E93" i="1"/>
  <c r="BC102" i="1"/>
  <c r="BB102" i="1"/>
  <c r="BD102" i="1" s="1"/>
  <c r="U104" i="1"/>
  <c r="S104" i="1"/>
  <c r="E104" i="1"/>
  <c r="BC16" i="1"/>
  <c r="BB16" i="1"/>
  <c r="BD16" i="1" s="1"/>
  <c r="U5" i="1"/>
  <c r="S5" i="1"/>
  <c r="E5" i="1"/>
  <c r="BC51" i="1"/>
  <c r="BB51" i="1"/>
  <c r="BD51" i="1" s="1"/>
  <c r="U84" i="1"/>
  <c r="S84" i="1"/>
  <c r="E84" i="1"/>
  <c r="BC90" i="1"/>
  <c r="BB90" i="1"/>
  <c r="BD90" i="1" s="1"/>
  <c r="U96" i="1"/>
  <c r="S96" i="1"/>
  <c r="E96" i="1"/>
  <c r="BC87" i="1"/>
  <c r="BB87" i="1"/>
  <c r="BD87" i="1" s="1"/>
  <c r="U35" i="1"/>
  <c r="S35" i="1"/>
  <c r="E35" i="1"/>
  <c r="BC84" i="1"/>
  <c r="BB84" i="1"/>
  <c r="BD84" i="1" s="1"/>
  <c r="U34" i="1"/>
  <c r="S34" i="1"/>
  <c r="E34" i="1"/>
  <c r="BC31" i="1"/>
  <c r="BB31" i="1"/>
  <c r="BD31" i="1" s="1"/>
  <c r="U9" i="1"/>
  <c r="S9" i="1"/>
  <c r="E9" i="1"/>
  <c r="BC69" i="1"/>
  <c r="BB69" i="1"/>
  <c r="BD69" i="1" s="1"/>
  <c r="U24" i="1"/>
  <c r="S24" i="1"/>
  <c r="E24" i="1"/>
  <c r="BC50" i="1"/>
  <c r="BB50" i="1"/>
  <c r="BD50" i="1" s="1"/>
  <c r="U83" i="1"/>
  <c r="S83" i="1"/>
  <c r="E83" i="1"/>
  <c r="BC77" i="1"/>
  <c r="BB77" i="1"/>
  <c r="BD77" i="1" s="1"/>
  <c r="U92" i="1"/>
  <c r="S92" i="1"/>
  <c r="E92" i="1"/>
  <c r="BC88" i="1"/>
  <c r="BB88" i="1"/>
  <c r="BD88" i="1" s="1"/>
  <c r="U95" i="1"/>
  <c r="S95" i="1"/>
  <c r="E95" i="1"/>
  <c r="BC15" i="1"/>
  <c r="BB15" i="1"/>
  <c r="BD15" i="1" s="1"/>
  <c r="U59" i="1"/>
  <c r="S59" i="1"/>
  <c r="E59" i="1"/>
  <c r="BC66" i="1"/>
  <c r="BB66" i="1"/>
  <c r="BD66" i="1" s="1"/>
  <c r="U22" i="1"/>
  <c r="S22" i="1"/>
  <c r="E22" i="1"/>
  <c r="BC25" i="1"/>
  <c r="BB25" i="1"/>
  <c r="BD25" i="1" s="1"/>
  <c r="U7" i="1"/>
  <c r="S7" i="1"/>
  <c r="E7" i="1"/>
  <c r="BC28" i="1"/>
  <c r="BB28" i="1"/>
  <c r="BD28" i="1" s="1"/>
  <c r="U69" i="1"/>
  <c r="S69" i="1"/>
  <c r="E69" i="1"/>
  <c r="BC53" i="1"/>
  <c r="BB53" i="1"/>
  <c r="BD53" i="1" s="1"/>
  <c r="U86" i="1"/>
  <c r="S86" i="1"/>
  <c r="E86" i="1"/>
  <c r="BC24" i="1"/>
  <c r="BB24" i="1"/>
  <c r="BD24" i="1" s="1"/>
  <c r="U66" i="1"/>
  <c r="S66" i="1"/>
  <c r="E66" i="1"/>
  <c r="BC29" i="1"/>
  <c r="BB29" i="1"/>
  <c r="BD29" i="1" s="1"/>
  <c r="U70" i="1"/>
  <c r="S70" i="1"/>
  <c r="E70" i="1"/>
  <c r="U45" i="1"/>
  <c r="S45" i="1"/>
  <c r="E45" i="1"/>
  <c r="BC12" i="1"/>
  <c r="BB12" i="1"/>
  <c r="BD12" i="1" s="1"/>
  <c r="U57" i="1"/>
  <c r="S57" i="1"/>
  <c r="E57" i="1"/>
  <c r="U47" i="1"/>
  <c r="S47" i="1"/>
  <c r="E47" i="1"/>
  <c r="BC68" i="1"/>
  <c r="BB68" i="1"/>
  <c r="BD68" i="1" s="1"/>
  <c r="U23" i="1"/>
  <c r="S23" i="1"/>
  <c r="E23" i="1"/>
  <c r="BC113" i="1"/>
  <c r="BB113" i="1"/>
  <c r="BD113" i="1" s="1"/>
  <c r="U41" i="1"/>
  <c r="S41" i="1"/>
  <c r="E41" i="1"/>
  <c r="BC111" i="1"/>
  <c r="BB111" i="1"/>
  <c r="BD111" i="1" s="1"/>
  <c r="U112" i="1"/>
  <c r="S112" i="1"/>
  <c r="E112" i="1"/>
  <c r="BC17" i="1"/>
  <c r="BB17" i="1"/>
  <c r="BD17" i="1" s="1"/>
  <c r="U6" i="1"/>
  <c r="S6" i="1"/>
  <c r="E6" i="1"/>
  <c r="BC27" i="1"/>
  <c r="BB27" i="1"/>
  <c r="BD27" i="1" s="1"/>
  <c r="U68" i="1"/>
  <c r="S68" i="1"/>
  <c r="E68" i="1"/>
  <c r="BC30" i="1"/>
  <c r="BB30" i="1"/>
  <c r="BD30" i="1" s="1"/>
  <c r="U8" i="1"/>
  <c r="S8" i="1"/>
  <c r="E8" i="1"/>
  <c r="BC21" i="1"/>
  <c r="BB21" i="1"/>
  <c r="BD21" i="1" s="1"/>
  <c r="U63" i="1"/>
  <c r="S63" i="1"/>
  <c r="E63" i="1"/>
  <c r="BC45" i="1"/>
  <c r="BB45" i="1"/>
  <c r="BD45" i="1" s="1"/>
  <c r="U79" i="1"/>
  <c r="S79" i="1"/>
  <c r="E79" i="1"/>
  <c r="BC14" i="1"/>
  <c r="BB14" i="1"/>
  <c r="BD14" i="1" s="1"/>
  <c r="U58" i="1"/>
  <c r="S58" i="1"/>
  <c r="E58" i="1"/>
  <c r="BC107" i="1"/>
  <c r="BB107" i="1"/>
  <c r="BD107" i="1" s="1"/>
  <c r="U109" i="1"/>
  <c r="S109" i="1"/>
  <c r="E109" i="1"/>
  <c r="BC48" i="1"/>
  <c r="BB48" i="1"/>
  <c r="BD48" i="1" s="1"/>
  <c r="U81" i="1"/>
  <c r="S81" i="1"/>
  <c r="E81" i="1"/>
  <c r="BC86" i="1"/>
  <c r="BB86" i="1"/>
  <c r="BD86" i="1" s="1"/>
  <c r="U94" i="1"/>
  <c r="S94" i="1"/>
  <c r="E94" i="1"/>
  <c r="BC23" i="1"/>
  <c r="BB23" i="1"/>
  <c r="BD23" i="1" s="1"/>
  <c r="U65" i="1"/>
  <c r="S65" i="1"/>
  <c r="E65" i="1"/>
  <c r="BC79" i="1"/>
  <c r="BB79" i="1"/>
  <c r="BD79" i="1" s="1"/>
  <c r="U30" i="1"/>
  <c r="S30" i="1"/>
  <c r="E30" i="1"/>
  <c r="BC70" i="1"/>
  <c r="BB70" i="1"/>
  <c r="BD70" i="1" s="1"/>
  <c r="U25" i="1"/>
  <c r="S25" i="1"/>
  <c r="E25" i="1"/>
  <c r="BC99" i="1"/>
  <c r="BB99" i="1"/>
  <c r="BD99" i="1" s="1"/>
  <c r="U101" i="1"/>
  <c r="S101" i="1"/>
  <c r="E101" i="1"/>
  <c r="BC49" i="1"/>
  <c r="BB49" i="1"/>
  <c r="BD49" i="1" s="1"/>
  <c r="U82" i="1"/>
  <c r="S82" i="1"/>
  <c r="E82" i="1"/>
  <c r="BC97" i="1"/>
  <c r="BB97" i="1"/>
  <c r="BD97" i="1" s="1"/>
  <c r="U99" i="1"/>
  <c r="S99" i="1"/>
  <c r="E99" i="1"/>
  <c r="BC64" i="1"/>
  <c r="BB64" i="1"/>
  <c r="BD64" i="1" s="1"/>
  <c r="U21" i="1"/>
  <c r="S21" i="1"/>
  <c r="E21" i="1"/>
  <c r="BC55" i="1"/>
  <c r="BB55" i="1"/>
  <c r="BD55" i="1" s="1"/>
  <c r="U17" i="1"/>
  <c r="S17" i="1"/>
  <c r="E17" i="1"/>
  <c r="BC7" i="1"/>
  <c r="BB7" i="1"/>
  <c r="BD7" i="1" s="1"/>
  <c r="U54" i="1"/>
  <c r="S54" i="1"/>
  <c r="E54" i="1"/>
  <c r="BC112" i="1"/>
  <c r="BB112" i="1"/>
  <c r="BD112" i="1" s="1"/>
  <c r="U113" i="1"/>
  <c r="S113" i="1"/>
  <c r="E113" i="1"/>
  <c r="BC47" i="1"/>
  <c r="BB47" i="1"/>
  <c r="BD47" i="1" s="1"/>
  <c r="U15" i="1"/>
  <c r="S15" i="1"/>
  <c r="E15" i="1"/>
  <c r="BC34" i="1"/>
  <c r="BB34" i="1"/>
  <c r="BD34" i="1" s="1"/>
  <c r="U72" i="1"/>
  <c r="S72" i="1"/>
  <c r="E72" i="1"/>
  <c r="BC8" i="1"/>
  <c r="BB8" i="1"/>
  <c r="BD8" i="1" s="1"/>
  <c r="U55" i="1"/>
  <c r="S55" i="1"/>
  <c r="E55" i="1"/>
  <c r="BC32" i="1"/>
  <c r="BB32" i="1"/>
  <c r="BD32" i="1" s="1"/>
  <c r="U10" i="1"/>
  <c r="S10" i="1"/>
  <c r="E10" i="1"/>
  <c r="BC94" i="1"/>
  <c r="BB94" i="1"/>
  <c r="BD94" i="1" s="1"/>
  <c r="U97" i="1"/>
  <c r="S97" i="1"/>
  <c r="E97" i="1"/>
  <c r="BC106" i="1"/>
  <c r="BB106" i="1"/>
  <c r="BD106" i="1" s="1"/>
  <c r="U108" i="1"/>
  <c r="S108" i="1"/>
  <c r="E108" i="1"/>
  <c r="BC36" i="1"/>
  <c r="BB36" i="1"/>
  <c r="BD36" i="1" s="1"/>
  <c r="U74" i="1"/>
  <c r="S74" i="1"/>
  <c r="E74" i="1"/>
  <c r="BC43" i="1"/>
  <c r="BB43" i="1"/>
  <c r="BD43" i="1" s="1"/>
  <c r="U14" i="1"/>
  <c r="S14" i="1"/>
  <c r="E14" i="1"/>
  <c r="BC72" i="1"/>
  <c r="BB72" i="1"/>
  <c r="BD72" i="1" s="1"/>
  <c r="U90" i="1"/>
  <c r="S90" i="1"/>
  <c r="E90" i="1"/>
  <c r="BC83" i="1"/>
  <c r="BB83" i="1"/>
  <c r="BD83" i="1" s="1"/>
  <c r="U33" i="1"/>
  <c r="S33" i="1"/>
  <c r="E33" i="1"/>
  <c r="BC103" i="1"/>
  <c r="BB103" i="1"/>
  <c r="BD103" i="1" s="1"/>
  <c r="U105" i="1"/>
  <c r="S105" i="1"/>
  <c r="E105" i="1"/>
  <c r="BC42" i="1"/>
  <c r="BB42" i="1"/>
  <c r="BD42" i="1" s="1"/>
  <c r="U13" i="1"/>
  <c r="S13" i="1"/>
  <c r="E13" i="1"/>
  <c r="BC71" i="1"/>
  <c r="BB71" i="1"/>
  <c r="BD71" i="1" s="1"/>
  <c r="U89" i="1"/>
  <c r="S89" i="1"/>
  <c r="E89" i="1"/>
  <c r="BC60" i="1"/>
  <c r="BB60" i="1"/>
  <c r="BD60" i="1" s="1"/>
  <c r="U87" i="1"/>
  <c r="S87" i="1"/>
  <c r="E87" i="1"/>
  <c r="BC52" i="1"/>
  <c r="BB52" i="1"/>
  <c r="BD52" i="1" s="1"/>
  <c r="U85" i="1"/>
  <c r="S85" i="1"/>
  <c r="E85" i="1"/>
  <c r="BC11" i="1"/>
  <c r="BB11" i="1"/>
  <c r="BD11" i="1" s="1"/>
  <c r="U3" i="1"/>
  <c r="S3" i="1"/>
  <c r="E3" i="1"/>
  <c r="BC76" i="1"/>
  <c r="BB76" i="1"/>
  <c r="BD76" i="1" s="1"/>
  <c r="U28" i="1"/>
  <c r="S28" i="1"/>
  <c r="E28" i="1"/>
  <c r="BC108" i="1"/>
  <c r="BB108" i="1"/>
  <c r="BD108" i="1" s="1"/>
  <c r="U110" i="1"/>
  <c r="S110" i="1"/>
  <c r="E110" i="1"/>
  <c r="BC13" i="1"/>
  <c r="BB13" i="1"/>
  <c r="BD13" i="1" s="1"/>
  <c r="U4" i="1"/>
  <c r="S4" i="1"/>
  <c r="E4" i="1"/>
  <c r="BC40" i="1"/>
  <c r="BB40" i="1"/>
  <c r="BD40" i="1" s="1"/>
  <c r="U76" i="1"/>
  <c r="S76" i="1"/>
  <c r="E76" i="1"/>
  <c r="BC73" i="1"/>
  <c r="BB73" i="1"/>
  <c r="BD73" i="1" s="1"/>
  <c r="U26" i="1"/>
  <c r="S26" i="1"/>
  <c r="E26" i="1"/>
  <c r="BC63" i="1"/>
  <c r="BB63" i="1"/>
  <c r="BD63" i="1" s="1"/>
  <c r="U20" i="1"/>
  <c r="S20" i="1"/>
  <c r="E20" i="1"/>
  <c r="BC20" i="1"/>
  <c r="BB20" i="1"/>
  <c r="BD20" i="1" s="1"/>
  <c r="U62" i="1"/>
  <c r="S62" i="1"/>
  <c r="E62" i="1"/>
  <c r="BC110" i="1"/>
  <c r="BB110" i="1"/>
  <c r="BD110" i="1" s="1"/>
  <c r="U40" i="1"/>
  <c r="S40" i="1"/>
  <c r="E40" i="1"/>
  <c r="BC59" i="1"/>
  <c r="BB59" i="1"/>
  <c r="BD59" i="1" s="1"/>
  <c r="U19" i="1"/>
  <c r="S19" i="1"/>
  <c r="E19" i="1"/>
  <c r="BC10" i="1"/>
  <c r="BB10" i="1"/>
  <c r="BD10" i="1" s="1"/>
  <c r="U2" i="1"/>
  <c r="S2" i="1"/>
  <c r="E2" i="1"/>
  <c r="BC22" i="1"/>
  <c r="BB22" i="1"/>
  <c r="BD22" i="1" s="1"/>
  <c r="U64" i="1"/>
  <c r="S64" i="1"/>
  <c r="E64" i="1"/>
  <c r="BC44" i="1"/>
  <c r="BB44" i="1"/>
  <c r="BD44" i="1" s="1"/>
  <c r="U78" i="1"/>
  <c r="S78" i="1"/>
  <c r="E78" i="1"/>
  <c r="BC75" i="1"/>
  <c r="BB75" i="1"/>
  <c r="BD75" i="1" s="1"/>
  <c r="U91" i="1"/>
  <c r="S91" i="1"/>
  <c r="E91" i="1"/>
  <c r="BC41" i="1"/>
  <c r="BB41" i="1"/>
  <c r="BD41" i="1" s="1"/>
  <c r="U77" i="1"/>
  <c r="S77" i="1"/>
  <c r="E77" i="1"/>
  <c r="U48" i="1"/>
  <c r="S48" i="1"/>
  <c r="E48" i="1"/>
  <c r="U44" i="1"/>
  <c r="S44" i="1"/>
  <c r="E44" i="1"/>
  <c r="BC5" i="1"/>
  <c r="BB5" i="1"/>
  <c r="BD5" i="1" s="1"/>
  <c r="U52" i="1"/>
  <c r="S52" i="1"/>
  <c r="E52" i="1"/>
  <c r="BC9" i="1"/>
  <c r="BB9" i="1"/>
  <c r="BD9" i="1" s="1"/>
  <c r="U56" i="1"/>
  <c r="S56" i="1"/>
  <c r="E56" i="1"/>
  <c r="BC98" i="1"/>
  <c r="BB98" i="1"/>
  <c r="BD98" i="1" s="1"/>
  <c r="U100" i="1"/>
  <c r="S100" i="1"/>
  <c r="E100" i="1"/>
  <c r="BC61" i="1"/>
  <c r="BB61" i="1"/>
  <c r="BD61" i="1" s="1"/>
  <c r="U88" i="1"/>
  <c r="S88" i="1"/>
  <c r="E88" i="1"/>
  <c r="BC93" i="1"/>
  <c r="BB93" i="1"/>
  <c r="BD93" i="1" s="1"/>
  <c r="U38" i="1"/>
  <c r="S38" i="1"/>
  <c r="E38" i="1"/>
  <c r="BC82" i="1"/>
  <c r="BB82" i="1"/>
  <c r="BD82" i="1" s="1"/>
  <c r="U32" i="1"/>
  <c r="S32" i="1"/>
  <c r="E32" i="1"/>
  <c r="BC96" i="1"/>
  <c r="BB96" i="1"/>
  <c r="BD96" i="1" s="1"/>
  <c r="U39" i="1"/>
  <c r="S39" i="1"/>
  <c r="E39" i="1"/>
  <c r="BC74" i="1"/>
  <c r="BB74" i="1"/>
  <c r="BD74" i="1" s="1"/>
  <c r="U27" i="1"/>
  <c r="S27" i="1"/>
  <c r="E27" i="1"/>
  <c r="BC104" i="1"/>
  <c r="BB104" i="1"/>
  <c r="BD104" i="1" s="1"/>
  <c r="U106" i="1"/>
  <c r="S106" i="1"/>
  <c r="E106" i="1"/>
  <c r="BC6" i="1"/>
  <c r="BB6" i="1"/>
  <c r="BD6" i="1" s="1"/>
  <c r="U53" i="1"/>
  <c r="S53" i="1"/>
  <c r="E53" i="1"/>
  <c r="BC80" i="1"/>
  <c r="BB80" i="1"/>
  <c r="BD80" i="1" s="1"/>
  <c r="U31" i="1"/>
  <c r="S31" i="1"/>
  <c r="E31" i="1"/>
  <c r="BC54" i="1"/>
  <c r="BB54" i="1"/>
  <c r="BD54" i="1" s="1"/>
  <c r="U16" i="1"/>
  <c r="S16" i="1"/>
  <c r="E16" i="1"/>
  <c r="BC39" i="1"/>
  <c r="BB39" i="1"/>
  <c r="BD39" i="1" s="1"/>
  <c r="U12" i="1"/>
  <c r="S12" i="1"/>
  <c r="E12" i="1"/>
  <c r="BC109" i="1"/>
  <c r="BB109" i="1"/>
  <c r="BD109" i="1" s="1"/>
  <c r="U111" i="1"/>
  <c r="S111" i="1"/>
  <c r="E111" i="1"/>
  <c r="BC91" i="1"/>
  <c r="BB91" i="1"/>
  <c r="BD91" i="1" s="1"/>
  <c r="U37" i="1"/>
  <c r="S37" i="1"/>
  <c r="E37" i="1"/>
  <c r="BC101" i="1"/>
  <c r="BB101" i="1"/>
  <c r="BD101" i="1" s="1"/>
  <c r="U103" i="1"/>
  <c r="S103" i="1"/>
  <c r="E103" i="1"/>
  <c r="BC37" i="1"/>
  <c r="BB37" i="1"/>
  <c r="BD37" i="1" s="1"/>
  <c r="U75" i="1"/>
  <c r="S75" i="1"/>
  <c r="E75" i="1"/>
  <c r="BC100" i="1"/>
  <c r="BB100" i="1"/>
  <c r="BD100" i="1" s="1"/>
  <c r="U102" i="1"/>
  <c r="S102" i="1"/>
  <c r="E102" i="1"/>
  <c r="BC78" i="1"/>
  <c r="BB78" i="1"/>
  <c r="BD78" i="1" s="1"/>
  <c r="U29" i="1"/>
  <c r="S29" i="1"/>
  <c r="E29" i="1"/>
  <c r="BC26" i="1"/>
  <c r="BB26" i="1"/>
  <c r="BD26" i="1" s="1"/>
  <c r="U67" i="1"/>
  <c r="S67" i="1"/>
  <c r="E67" i="1"/>
  <c r="BC33" i="1"/>
  <c r="BB33" i="1"/>
  <c r="BD33" i="1" s="1"/>
  <c r="U71" i="1"/>
  <c r="S71" i="1"/>
  <c r="E71" i="1"/>
  <c r="BC35" i="1"/>
  <c r="BB35" i="1"/>
  <c r="BD35" i="1" s="1"/>
  <c r="U73" i="1"/>
  <c r="S73" i="1"/>
  <c r="E73" i="1"/>
  <c r="BC38" i="1"/>
  <c r="BB38" i="1"/>
  <c r="BD38" i="1" s="1"/>
  <c r="U11" i="1"/>
  <c r="S11" i="1"/>
  <c r="E11" i="1"/>
  <c r="BC3" i="1"/>
  <c r="BB3" i="1"/>
  <c r="BD3" i="1" s="1"/>
  <c r="U50" i="1"/>
  <c r="S50" i="1"/>
  <c r="E50" i="1"/>
  <c r="BC105" i="1"/>
  <c r="BB105" i="1"/>
  <c r="BD105" i="1" s="1"/>
  <c r="U107" i="1"/>
  <c r="S107" i="1"/>
  <c r="E107" i="1"/>
  <c r="BC4" i="1"/>
  <c r="BB4" i="1"/>
  <c r="BD4" i="1" s="1"/>
  <c r="U51" i="1"/>
  <c r="S51" i="1"/>
  <c r="E51" i="1"/>
  <c r="BC18" i="1"/>
  <c r="BB18" i="1"/>
  <c r="BD18" i="1" s="1"/>
  <c r="U60" i="1"/>
  <c r="S60" i="1"/>
  <c r="E60" i="1"/>
  <c r="U49" i="1"/>
  <c r="S49" i="1"/>
  <c r="E49" i="1"/>
  <c r="BC95" i="1"/>
  <c r="BB95" i="1"/>
  <c r="BD95" i="1" s="1"/>
  <c r="U98" i="1"/>
  <c r="S98" i="1"/>
  <c r="E98" i="1"/>
  <c r="BC46" i="1"/>
  <c r="BB46" i="1"/>
  <c r="BD46" i="1" s="1"/>
  <c r="U80" i="1"/>
  <c r="S80" i="1"/>
  <c r="E80" i="1"/>
  <c r="U43" i="1"/>
  <c r="S43" i="1"/>
  <c r="E43" i="1"/>
  <c r="BC89" i="1"/>
  <c r="BB89" i="1"/>
  <c r="BD89" i="1" s="1"/>
  <c r="U36" i="1"/>
  <c r="S36" i="1"/>
  <c r="E36" i="1"/>
  <c r="BC19" i="1"/>
  <c r="BB19" i="1"/>
  <c r="BD19" i="1" s="1"/>
  <c r="U61" i="1"/>
  <c r="S61" i="1"/>
  <c r="E61" i="1"/>
  <c r="BC57" i="1"/>
  <c r="BB57" i="1"/>
  <c r="BD57" i="1" s="1"/>
  <c r="U18" i="1"/>
  <c r="S18" i="1"/>
  <c r="E18" i="1"/>
  <c r="U42" i="1"/>
  <c r="S42" i="1"/>
  <c r="E42" i="1"/>
</calcChain>
</file>

<file path=xl/sharedStrings.xml><?xml version="1.0" encoding="utf-8"?>
<sst xmlns="http://schemas.openxmlformats.org/spreadsheetml/2006/main" count="5376" uniqueCount="274">
  <si>
    <t>Geopark</t>
  </si>
  <si>
    <t>Latitude</t>
  </si>
  <si>
    <t>Longitude</t>
  </si>
  <si>
    <t>Size</t>
  </si>
  <si>
    <t>Size_Category</t>
  </si>
  <si>
    <t>Network</t>
  </si>
  <si>
    <t>Country</t>
  </si>
  <si>
    <t>Year of Designation</t>
  </si>
  <si>
    <t>Era</t>
  </si>
  <si>
    <t xml:space="preserve">Position </t>
  </si>
  <si>
    <t>Other</t>
  </si>
  <si>
    <t>Usage</t>
  </si>
  <si>
    <t>Drones</t>
  </si>
  <si>
    <t>VR</t>
  </si>
  <si>
    <t>AR</t>
  </si>
  <si>
    <t>Mobile App</t>
  </si>
  <si>
    <t>Web App</t>
  </si>
  <si>
    <t>Field Collection App</t>
  </si>
  <si>
    <t>Digital_Tools_Count</t>
  </si>
  <si>
    <t>None</t>
  </si>
  <si>
    <t>Common Digital Tool Usage (%)</t>
  </si>
  <si>
    <t>Other_tools</t>
  </si>
  <si>
    <t>Geosite List</t>
  </si>
  <si>
    <t>Geodiversity Maps</t>
  </si>
  <si>
    <t>Public Interpretation</t>
  </si>
  <si>
    <t>Inventory</t>
  </si>
  <si>
    <t>Protection</t>
  </si>
  <si>
    <t>Maintenance</t>
  </si>
  <si>
    <t>Boundary</t>
  </si>
  <si>
    <t>Management Plan</t>
  </si>
  <si>
    <t>Marketing Strategy</t>
  </si>
  <si>
    <t>Sustainable Geotourism</t>
  </si>
  <si>
    <t>Promotion</t>
  </si>
  <si>
    <t>Geopark Infrastructure</t>
  </si>
  <si>
    <t>Scientific Research</t>
  </si>
  <si>
    <t>Environmental Education</t>
  </si>
  <si>
    <t>Education</t>
  </si>
  <si>
    <t>Published Information</t>
  </si>
  <si>
    <t>School Provisions</t>
  </si>
  <si>
    <t>Training Courses</t>
  </si>
  <si>
    <t>Information Educational</t>
  </si>
  <si>
    <t>Promotional Material</t>
  </si>
  <si>
    <t>Multilingual Marketing</t>
  </si>
  <si>
    <t>Exhibitions</t>
  </si>
  <si>
    <t>Information Centres</t>
  </si>
  <si>
    <t>Websites and Newsletters</t>
  </si>
  <si>
    <t>Guided Tours</t>
  </si>
  <si>
    <t>Interpretative Panels</t>
  </si>
  <si>
    <t>Visitor Evaluation</t>
  </si>
  <si>
    <t>Promotion Materials</t>
  </si>
  <si>
    <t>Geotourism Products</t>
  </si>
  <si>
    <t>Geopark Linkages</t>
  </si>
  <si>
    <t>Networking</t>
  </si>
  <si>
    <t>Adoption_Prop</t>
  </si>
  <si>
    <t>Adoption_Count</t>
  </si>
  <si>
    <t>Adoption_Rate</t>
  </si>
  <si>
    <t>Gender</t>
  </si>
  <si>
    <t>Years of Employment</t>
  </si>
  <si>
    <t>Year of Last Revalidation</t>
  </si>
  <si>
    <t>Years Since Initial Evaluation or Revalidation</t>
  </si>
  <si>
    <t>Expenditure</t>
  </si>
  <si>
    <t>Allocated Budget</t>
  </si>
  <si>
    <t>Copper Coast</t>
  </si>
  <si>
    <t>EGN</t>
  </si>
  <si>
    <t>Ireland</t>
  </si>
  <si>
    <t>2004 - 2010</t>
  </si>
  <si>
    <t>Geopark manager</t>
  </si>
  <si>
    <t>Daily</t>
  </si>
  <si>
    <t>Yes</t>
  </si>
  <si>
    <t>No</t>
  </si>
  <si>
    <t>Unknown</t>
  </si>
  <si>
    <t>Unspecified</t>
  </si>
  <si>
    <t>0-2</t>
  </si>
  <si>
    <t>Basque Coast</t>
  </si>
  <si>
    <t>Spain</t>
  </si>
  <si>
    <t>Geoscientist</t>
  </si>
  <si>
    <t>Male</t>
  </si>
  <si>
    <t>11+</t>
  </si>
  <si>
    <t>Specified</t>
  </si>
  <si>
    <t>Jiuhuashan</t>
  </si>
  <si>
    <t>APGN</t>
  </si>
  <si>
    <t>China</t>
  </si>
  <si>
    <t>2015 - 2023</t>
  </si>
  <si>
    <t>6-10</t>
  </si>
  <si>
    <t>&gt;4</t>
  </si>
  <si>
    <t>I Don't Know</t>
  </si>
  <si>
    <t>Hong Kong</t>
  </si>
  <si>
    <t>2011 - 2014</t>
  </si>
  <si>
    <t>Weekly</t>
  </si>
  <si>
    <t>Female</t>
  </si>
  <si>
    <t>Marble Arch Caves</t>
  </si>
  <si>
    <t>Ireland, UK, North Ireland</t>
  </si>
  <si>
    <t>Digital Data Loggers (People Counters)</t>
  </si>
  <si>
    <t>3-4</t>
  </si>
  <si>
    <t>Sanqingshan</t>
  </si>
  <si>
    <t>Mëllerdall</t>
  </si>
  <si>
    <t>Luxembourg</t>
  </si>
  <si>
    <t>Senior personnel</t>
  </si>
  <si>
    <t>3-5</t>
  </si>
  <si>
    <t>Initial 0-2</t>
  </si>
  <si>
    <t>Danxiashan</t>
  </si>
  <si>
    <t>Idrija</t>
  </si>
  <si>
    <t>Slovenia</t>
  </si>
  <si>
    <t>Yandangshan</t>
  </si>
  <si>
    <t>Sierras Subbéticas</t>
  </si>
  <si>
    <t>Monthly</t>
  </si>
  <si>
    <t>Shilin</t>
  </si>
  <si>
    <t>Odsherred</t>
  </si>
  <si>
    <t>Denmark</t>
  </si>
  <si>
    <t>Zhangjiajie</t>
  </si>
  <si>
    <t>Staff member</t>
  </si>
  <si>
    <t>Tianzhushan</t>
  </si>
  <si>
    <t>Less than Monthly</t>
  </si>
  <si>
    <t>Mixteca Alta</t>
  </si>
  <si>
    <t>GeoLAC</t>
  </si>
  <si>
    <t>Mexico</t>
  </si>
  <si>
    <t>Coordinator of the Scientific Committee</t>
  </si>
  <si>
    <t>Lushan</t>
  </si>
  <si>
    <t>Sitia</t>
  </si>
  <si>
    <t>Greece</t>
  </si>
  <si>
    <t>Burren and Cliffs of Moher</t>
  </si>
  <si>
    <t>Percé</t>
  </si>
  <si>
    <t>CGN</t>
  </si>
  <si>
    <t>Canada</t>
  </si>
  <si>
    <t>Muskauer Faltenbogen / Łuk Mużakowa</t>
  </si>
  <si>
    <t>Poland and Germany</t>
  </si>
  <si>
    <t>Alxa Desert</t>
  </si>
  <si>
    <t>Terras de Cavaleiros</t>
  </si>
  <si>
    <t>Portugal</t>
  </si>
  <si>
    <t>Wudalianchi</t>
  </si>
  <si>
    <t>Bohemian Paradise</t>
  </si>
  <si>
    <t>Czechia</t>
  </si>
  <si>
    <t>Itoigawa</t>
  </si>
  <si>
    <t>Japan</t>
  </si>
  <si>
    <t>Hakusan Tedorigawa</t>
  </si>
  <si>
    <t>Google Analytics, SNS Advertising, Digital Advertising, Website, Online Meeting Platforms</t>
  </si>
  <si>
    <t>Fforest Fawr</t>
  </si>
  <si>
    <t>UK</t>
  </si>
  <si>
    <t>Development officer</t>
  </si>
  <si>
    <t>Kefalonia-Ithaca</t>
  </si>
  <si>
    <t>Reykjanes</t>
  </si>
  <si>
    <t>Iceland</t>
  </si>
  <si>
    <t>Río Coco</t>
  </si>
  <si>
    <t>Nicaragua</t>
  </si>
  <si>
    <t>De Hondsrug</t>
  </si>
  <si>
    <t>Netherlands</t>
  </si>
  <si>
    <t>Shennongjia</t>
  </si>
  <si>
    <t>Deputy Director of Geopark Management Office</t>
  </si>
  <si>
    <t>Hateg</t>
  </si>
  <si>
    <t>Romania</t>
  </si>
  <si>
    <t>Fangshan</t>
  </si>
  <si>
    <t>Mudeungsan</t>
  </si>
  <si>
    <t>Republic of Korea</t>
  </si>
  <si>
    <t>Karawanken / Karavanke</t>
  </si>
  <si>
    <t>Slovenia and Austria</t>
  </si>
  <si>
    <t>Troodos</t>
  </si>
  <si>
    <t>Cyrpus</t>
  </si>
  <si>
    <t>Discovery</t>
  </si>
  <si>
    <t>Psiloritis</t>
  </si>
  <si>
    <t>Hantangang</t>
  </si>
  <si>
    <t>Toya-Usu</t>
  </si>
  <si>
    <t>Aso</t>
  </si>
  <si>
    <t>Vulkaneifel</t>
  </si>
  <si>
    <t>Germany</t>
  </si>
  <si>
    <t>Ciletuh-Palabuhanratu</t>
  </si>
  <si>
    <t>Indonesia</t>
  </si>
  <si>
    <t>General Affairs</t>
  </si>
  <si>
    <t>Zhangye</t>
  </si>
  <si>
    <t>Rocca di Cerere</t>
  </si>
  <si>
    <t>Italy</t>
  </si>
  <si>
    <t>Central Catalonia</t>
  </si>
  <si>
    <t>Rokua</t>
  </si>
  <si>
    <t>Finland</t>
  </si>
  <si>
    <t>Web shop</t>
  </si>
  <si>
    <t>Funiushan</t>
  </si>
  <si>
    <t>Beaujolais</t>
  </si>
  <si>
    <t>France</t>
  </si>
  <si>
    <t>Digital maps</t>
  </si>
  <si>
    <t>TERRA.vita</t>
  </si>
  <si>
    <t>Ries</t>
  </si>
  <si>
    <t>Marketing</t>
  </si>
  <si>
    <t>Sierra Norte de Sevilla</t>
  </si>
  <si>
    <t>Yimengshan</t>
  </si>
  <si>
    <t>I'm not sure what digital tools are</t>
  </si>
  <si>
    <t>Jeju Island</t>
  </si>
  <si>
    <t>Comarca Minera</t>
  </si>
  <si>
    <t>Communication coordinator</t>
  </si>
  <si>
    <t>Causses du Quercy</t>
  </si>
  <si>
    <t>Pollino</t>
  </si>
  <si>
    <t>North Pennines AONB</t>
  </si>
  <si>
    <t>Public engagement</t>
  </si>
  <si>
    <t>Luberon</t>
  </si>
  <si>
    <t>Sesia Val Grande</t>
  </si>
  <si>
    <t>Orígens</t>
  </si>
  <si>
    <t>Dunhuang</t>
  </si>
  <si>
    <t xml:space="preserve">North West Highlands </t>
  </si>
  <si>
    <t>Conferencing and Gsuite collaborative tools</t>
  </si>
  <si>
    <t>Estrela</t>
  </si>
  <si>
    <t>Monts d'Ardèche</t>
  </si>
  <si>
    <t>Kula - Salihli</t>
  </si>
  <si>
    <t>Turkey</t>
  </si>
  <si>
    <t>Dong Van Karst Plateau</t>
  </si>
  <si>
    <t>Vietnam</t>
  </si>
  <si>
    <t>San'in Kaigan</t>
  </si>
  <si>
    <t>Lanzarote and Chinijo Islands</t>
  </si>
  <si>
    <t>Stonehammer</t>
  </si>
  <si>
    <t>Cliffs of Fundy</t>
  </si>
  <si>
    <t xml:space="preserve">Villuercas Ibores Jara </t>
  </si>
  <si>
    <t>Huanggang Dabieshan</t>
  </si>
  <si>
    <t>Geopark science popularization personnel</t>
  </si>
  <si>
    <t>Ningde</t>
  </si>
  <si>
    <t>Xiangxi</t>
  </si>
  <si>
    <t>Seridó</t>
  </si>
  <si>
    <t>Brazil</t>
  </si>
  <si>
    <t>Scientific Coordinator</t>
  </si>
  <si>
    <t>Rinjani-Lombok</t>
  </si>
  <si>
    <t>Southern Canyons Pathways</t>
  </si>
  <si>
    <t>Technical team coordinator</t>
  </si>
  <si>
    <t>Gea Norvegica</t>
  </si>
  <si>
    <t>Norway</t>
  </si>
  <si>
    <t>Magma</t>
  </si>
  <si>
    <t>Non Nuoc Cao Bang</t>
  </si>
  <si>
    <t>Leiqiong</t>
  </si>
  <si>
    <t>I don't use digital tools</t>
  </si>
  <si>
    <t>Khorat</t>
  </si>
  <si>
    <t>Thailand</t>
  </si>
  <si>
    <t>Board of Executive Committee</t>
  </si>
  <si>
    <t>Bakony-Balaton</t>
  </si>
  <si>
    <t>Hungary</t>
  </si>
  <si>
    <t>Araripe</t>
  </si>
  <si>
    <t>Grutas del Palacio</t>
  </si>
  <si>
    <t>Uruguay</t>
  </si>
  <si>
    <t>Social Media</t>
  </si>
  <si>
    <t>Platåbergens</t>
  </si>
  <si>
    <t>Sweden</t>
  </si>
  <si>
    <t>Salpausselkä</t>
  </si>
  <si>
    <t>Naturtejo da Meseta Meridional</t>
  </si>
  <si>
    <t>Granada</t>
  </si>
  <si>
    <t>Technician</t>
  </si>
  <si>
    <t>Vestjylland</t>
  </si>
  <si>
    <t>Initial 3-4</t>
  </si>
  <si>
    <t>Dak Nong</t>
  </si>
  <si>
    <t>Belitong</t>
  </si>
  <si>
    <t>Merangin Jambi</t>
  </si>
  <si>
    <t>Lauhanvuori - Hämeenkangas</t>
  </si>
  <si>
    <t>Virtual meetings (Teams or other)</t>
  </si>
  <si>
    <t>Maros Pangkep</t>
  </si>
  <si>
    <t>Management Board Secretary</t>
  </si>
  <si>
    <t>M'Goun</t>
  </si>
  <si>
    <t>AUGGN</t>
  </si>
  <si>
    <t>Morocco</t>
  </si>
  <si>
    <t>President</t>
  </si>
  <si>
    <t xml:space="preserve">Social network </t>
  </si>
  <si>
    <t>Saimaa</t>
  </si>
  <si>
    <t>Colca y volcanes de Andagua</t>
  </si>
  <si>
    <t>Peru</t>
  </si>
  <si>
    <t>Vis Archipelago</t>
  </si>
  <si>
    <t>Croatia</t>
  </si>
  <si>
    <t>Swabian Alb</t>
  </si>
  <si>
    <t>Mount Kunlun</t>
  </si>
  <si>
    <t>Waitaki Whitestone</t>
  </si>
  <si>
    <t>New Zealand</t>
  </si>
  <si>
    <t>Thuringia Inselsberg - Drei Gleichen</t>
  </si>
  <si>
    <t>Tumbler Ridge</t>
  </si>
  <si>
    <t>Executive Director</t>
  </si>
  <si>
    <t>Trail mapping/GIS</t>
  </si>
  <si>
    <t>Kütralkura</t>
  </si>
  <si>
    <t>Chile</t>
  </si>
  <si>
    <t>Katla</t>
  </si>
  <si>
    <t>Trollfjell</t>
  </si>
  <si>
    <t>Ngorongoro Lengai</t>
  </si>
  <si>
    <t>Tanzania</t>
  </si>
  <si>
    <t>Raja Ampat</t>
  </si>
  <si>
    <t>Secretary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</si>
</sst>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2" fontId="1" fillId="2" borderId="0" xfId="0" applyNumberFormat="1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2" fontId="0" fillId="0" borderId="0" xfId="0" applyNumberFormat="1"/>
    <xf numFmtId="1" fontId="0" fillId="0" borderId="0" xfId="0" applyNumberFormat="1" applyAlignment="1">
      <alignment horizontal="right"/>
    </xf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49" fontId="0" fillId="0" borderId="0" xfId="0" applyNumberFormat="1"/>
    <xf numFmtId="2" fontId="0" fillId="0" borderId="0" xfId="0" applyNumberFormat="1" applyAlignment="1">
      <alignment wrapText="1"/>
    </xf>
    <xf numFmtId="4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0" fontId="1" fillId="8" borderId="0" xfId="0" applyFont="1" applyFill="1"/>
    <xf numFmtId="1" fontId="1" fillId="8" borderId="0" xfId="0" applyNumberFormat="1" applyFont="1" applyFill="1" applyAlignment="1">
      <alignment horizontal="right"/>
    </xf>
    <xf numFmtId="49" fontId="1" fillId="8" borderId="0" xfId="0" applyNumberFormat="1" applyFont="1" applyFill="1" applyAlignment="1">
      <alignment horizontal="right"/>
    </xf>
    <xf numFmtId="0" fontId="1" fillId="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0B41A-84EB-4318-858E-5373F610024F}">
  <dimension ref="A1:BK114"/>
  <sheetViews>
    <sheetView tabSelected="1" zoomScaleNormal="100" workbookViewId="0">
      <pane ySplit="1" topLeftCell="A2" activePane="bottomLeft" state="frozen"/>
      <selection pane="bottomLeft" activeCell="A21" sqref="A21"/>
    </sheetView>
  </sheetViews>
  <sheetFormatPr defaultRowHeight="14.5" x14ac:dyDescent="0.35"/>
  <cols>
    <col min="1" max="1" width="36.7265625" bestFit="1" customWidth="1"/>
    <col min="2" max="2" width="9.7265625" customWidth="1"/>
    <col min="3" max="3" width="12" customWidth="1"/>
    <col min="4" max="5" width="16" style="8" customWidth="1"/>
    <col min="6" max="6" width="21.453125" customWidth="1"/>
    <col min="7" max="8" width="24" customWidth="1"/>
    <col min="9" max="9" width="65" customWidth="1"/>
    <col min="10" max="10" width="16.26953125" customWidth="1"/>
    <col min="11" max="11" width="44.26953125" customWidth="1"/>
    <col min="12" max="12" width="31.1796875" customWidth="1"/>
    <col min="13" max="13" width="9.7265625" customWidth="1"/>
    <col min="14" max="15" width="9.1796875" customWidth="1"/>
    <col min="16" max="16" width="12.26953125" customWidth="1"/>
    <col min="17" max="17" width="10.1796875" customWidth="1"/>
    <col min="18" max="20" width="20.26953125" customWidth="1"/>
    <col min="21" max="21" width="29.26953125" style="8" customWidth="1"/>
    <col min="22" max="22" width="82.7265625" customWidth="1"/>
    <col min="23" max="23" width="11.1796875" customWidth="1"/>
    <col min="24" max="24" width="17.81640625" customWidth="1"/>
    <col min="25" max="25" width="39.1796875" customWidth="1"/>
    <col min="26" max="26" width="35.1796875" customWidth="1"/>
    <col min="27" max="27" width="27.7265625" customWidth="1"/>
    <col min="28" max="28" width="20.81640625" customWidth="1"/>
    <col min="29" max="29" width="17.7265625" customWidth="1"/>
    <col min="30" max="30" width="26.7265625" customWidth="1"/>
    <col min="31" max="31" width="18.1796875" customWidth="1"/>
    <col min="32" max="32" width="22.7265625" customWidth="1"/>
    <col min="33" max="33" width="37.81640625" customWidth="1"/>
    <col min="34" max="34" width="21" customWidth="1"/>
    <col min="35" max="35" width="26.1796875" customWidth="1"/>
    <col min="36" max="36" width="34.26953125" customWidth="1"/>
    <col min="37" max="37" width="19.81640625" customWidth="1"/>
    <col min="38" max="38" width="21.1796875" customWidth="1"/>
    <col min="39" max="39" width="35.26953125" customWidth="1"/>
    <col min="40" max="40" width="25" customWidth="1"/>
    <col min="41" max="41" width="32.54296875" customWidth="1"/>
    <col min="42" max="42" width="20.1796875" customWidth="1"/>
    <col min="43" max="43" width="21.1796875" customWidth="1"/>
    <col min="44" max="44" width="10.81640625" customWidth="1"/>
    <col min="45" max="45" width="18.7265625" customWidth="1"/>
    <col min="46" max="46" width="32.7265625" customWidth="1"/>
    <col min="47" max="47" width="12.54296875" customWidth="1"/>
    <col min="48" max="48" width="20" customWidth="1"/>
    <col min="49" max="49" width="16.81640625" customWidth="1"/>
    <col min="50" max="50" width="42.453125" customWidth="1"/>
    <col min="51" max="51" width="44.26953125" customWidth="1"/>
    <col min="52" max="52" width="15.6328125" bestFit="1" customWidth="1"/>
    <col min="53" max="53" width="12.453125" customWidth="1"/>
    <col min="54" max="56" width="20.54296875" customWidth="1"/>
    <col min="57" max="57" width="15.7265625" customWidth="1"/>
    <col min="58" max="58" width="20.26953125" customWidth="1"/>
    <col min="59" max="59" width="26" style="9" customWidth="1"/>
    <col min="60" max="60" width="26" style="17" customWidth="1"/>
    <col min="61" max="61" width="22.26953125" bestFit="1" customWidth="1"/>
    <col min="62" max="62" width="25.7265625" bestFit="1" customWidth="1"/>
    <col min="63" max="63" width="11.7265625" bestFit="1" customWidth="1"/>
  </cols>
  <sheetData>
    <row r="1" spans="1:62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1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7" t="s">
        <v>49</v>
      </c>
      <c r="AY1" s="7" t="s">
        <v>50</v>
      </c>
      <c r="AZ1" s="7" t="s">
        <v>51</v>
      </c>
      <c r="BA1" s="7" t="s">
        <v>52</v>
      </c>
      <c r="BB1" s="21" t="s">
        <v>53</v>
      </c>
      <c r="BC1" s="21" t="s">
        <v>54</v>
      </c>
      <c r="BD1" s="21" t="s">
        <v>55</v>
      </c>
      <c r="BE1" s="18" t="s">
        <v>56</v>
      </c>
      <c r="BF1" s="18" t="s">
        <v>57</v>
      </c>
      <c r="BG1" s="19" t="s">
        <v>58</v>
      </c>
      <c r="BH1" s="20" t="s">
        <v>59</v>
      </c>
      <c r="BI1" s="18" t="s">
        <v>60</v>
      </c>
      <c r="BJ1" s="18" t="s">
        <v>61</v>
      </c>
    </row>
    <row r="2" spans="1:62" x14ac:dyDescent="0.35">
      <c r="A2" t="s">
        <v>160</v>
      </c>
      <c r="B2">
        <v>42.591388888888801</v>
      </c>
      <c r="C2">
        <v>140.83722222222201</v>
      </c>
      <c r="D2" s="8">
        <v>1181</v>
      </c>
      <c r="E2" s="8" t="str">
        <f t="shared" ref="E2:E33" si="0">IF(D2&lt;1000,"Small",IF(D2&lt;=5000,"Medium",IF(D2&lt;=10000,"Large","Very Large")))</f>
        <v>Medium</v>
      </c>
      <c r="F2" t="s">
        <v>80</v>
      </c>
      <c r="G2" t="s">
        <v>133</v>
      </c>
      <c r="H2">
        <v>2009</v>
      </c>
      <c r="I2" t="s">
        <v>65</v>
      </c>
      <c r="J2" t="s">
        <v>97</v>
      </c>
      <c r="L2" t="s">
        <v>67</v>
      </c>
      <c r="M2" t="s">
        <v>68</v>
      </c>
      <c r="N2" t="s">
        <v>69</v>
      </c>
      <c r="O2" t="s">
        <v>69</v>
      </c>
      <c r="P2" t="s">
        <v>68</v>
      </c>
      <c r="Q2" t="s">
        <v>68</v>
      </c>
      <c r="R2" t="s">
        <v>69</v>
      </c>
      <c r="S2" s="8">
        <f t="shared" ref="S2:S33" si="1">COUNTIF(M2:R2, "Yes")</f>
        <v>3</v>
      </c>
      <c r="T2" s="8">
        <v>0</v>
      </c>
      <c r="U2" s="8">
        <f t="shared" ref="U2:U33" si="2">(COUNTIF(M2:R2, "Yes")/6)*100</f>
        <v>50</v>
      </c>
      <c r="W2" t="s">
        <v>68</v>
      </c>
      <c r="X2" t="s">
        <v>69</v>
      </c>
      <c r="Y2" t="s">
        <v>68</v>
      </c>
      <c r="Z2" t="s">
        <v>68</v>
      </c>
      <c r="AA2" t="s">
        <v>68</v>
      </c>
      <c r="AB2" t="s">
        <v>68</v>
      </c>
      <c r="AC2" t="s">
        <v>68</v>
      </c>
      <c r="AD2" t="s">
        <v>68</v>
      </c>
      <c r="AE2" t="s">
        <v>68</v>
      </c>
      <c r="AF2" t="s">
        <v>69</v>
      </c>
      <c r="AG2" t="s">
        <v>68</v>
      </c>
      <c r="AH2" t="s">
        <v>68</v>
      </c>
      <c r="AI2" t="s">
        <v>68</v>
      </c>
      <c r="AJ2" t="s">
        <v>68</v>
      </c>
      <c r="AK2" t="s">
        <v>68</v>
      </c>
      <c r="AL2" t="s">
        <v>68</v>
      </c>
      <c r="AM2" t="s">
        <v>68</v>
      </c>
      <c r="AN2" t="s">
        <v>68</v>
      </c>
      <c r="AO2" t="s">
        <v>68</v>
      </c>
      <c r="AP2" t="s">
        <v>68</v>
      </c>
      <c r="AQ2" t="s">
        <v>69</v>
      </c>
      <c r="AR2" t="s">
        <v>68</v>
      </c>
      <c r="AS2" t="s">
        <v>68</v>
      </c>
      <c r="AT2" t="s">
        <v>68</v>
      </c>
      <c r="AU2" t="s">
        <v>68</v>
      </c>
      <c r="AV2" t="s">
        <v>69</v>
      </c>
      <c r="AW2" t="s">
        <v>68</v>
      </c>
      <c r="AX2" t="s">
        <v>68</v>
      </c>
      <c r="AY2" t="s">
        <v>69</v>
      </c>
      <c r="AZ2" t="s">
        <v>68</v>
      </c>
      <c r="BA2" t="s">
        <v>68</v>
      </c>
      <c r="BB2">
        <f>((COUNTIF(W2:AB2, "Yes") + COUNTIF(AC2:AH2, "Yes") + COUNTIF(AI2:AO2, "Yes") + COUNTIF(AP2:AW2, "Yes") + COUNTIF(AX2:BA2, "Yes")) / 31) *100</f>
        <v>83.870967741935488</v>
      </c>
      <c r="BC2">
        <f>COUNTIF(W2:AB2, "Yes") + COUNTIF(AC2:AH2, "Yes") + COUNTIF(AI2:AO2, "Yes") + COUNTIF(AP2:AW2, "Yes") + COUNTIF(AX2:BA2, "Yes")</f>
        <v>26</v>
      </c>
      <c r="BD2" t="str">
        <f>IF(BB2 &lt;= 33, "Low", IF(BB2 &lt;= 66, "Moderate", "High"))</f>
        <v>High</v>
      </c>
      <c r="BE2" t="s">
        <v>89</v>
      </c>
      <c r="BF2" s="13" t="s">
        <v>77</v>
      </c>
      <c r="BG2" s="9">
        <v>2016</v>
      </c>
      <c r="BH2" s="10" t="s">
        <v>84</v>
      </c>
      <c r="BI2" s="8">
        <v>0.15</v>
      </c>
      <c r="BJ2" t="s">
        <v>78</v>
      </c>
    </row>
    <row r="3" spans="1:62" x14ac:dyDescent="0.35">
      <c r="A3" t="s">
        <v>178</v>
      </c>
      <c r="B3">
        <v>52.25</v>
      </c>
      <c r="C3">
        <v>8.0500000000000007</v>
      </c>
      <c r="D3" s="8">
        <v>1560</v>
      </c>
      <c r="E3" s="8" t="str">
        <f t="shared" si="0"/>
        <v>Medium</v>
      </c>
      <c r="F3" t="s">
        <v>63</v>
      </c>
      <c r="G3" t="s">
        <v>163</v>
      </c>
      <c r="H3">
        <v>2004</v>
      </c>
      <c r="I3" t="s">
        <v>65</v>
      </c>
      <c r="J3" t="s">
        <v>75</v>
      </c>
      <c r="L3" t="s">
        <v>67</v>
      </c>
      <c r="M3" t="s">
        <v>68</v>
      </c>
      <c r="N3" t="s">
        <v>68</v>
      </c>
      <c r="O3" t="s">
        <v>68</v>
      </c>
      <c r="P3" t="s">
        <v>68</v>
      </c>
      <c r="Q3" t="s">
        <v>68</v>
      </c>
      <c r="R3" t="s">
        <v>69</v>
      </c>
      <c r="S3" s="8">
        <f t="shared" si="1"/>
        <v>5</v>
      </c>
      <c r="T3" s="8">
        <v>0</v>
      </c>
      <c r="U3" s="8">
        <f t="shared" si="2"/>
        <v>83.333333333333343</v>
      </c>
      <c r="W3" t="s">
        <v>68</v>
      </c>
      <c r="X3" t="s">
        <v>69</v>
      </c>
      <c r="Y3" t="s">
        <v>69</v>
      </c>
      <c r="Z3" t="s">
        <v>68</v>
      </c>
      <c r="AA3" t="s">
        <v>69</v>
      </c>
      <c r="AB3" t="s">
        <v>69</v>
      </c>
      <c r="AC3" t="s">
        <v>69</v>
      </c>
      <c r="AD3" t="s">
        <v>69</v>
      </c>
      <c r="AE3" t="s">
        <v>69</v>
      </c>
      <c r="AF3" t="s">
        <v>68</v>
      </c>
      <c r="AG3" t="s">
        <v>68</v>
      </c>
      <c r="AH3" t="s">
        <v>68</v>
      </c>
      <c r="AI3" t="s">
        <v>69</v>
      </c>
      <c r="AJ3" t="s">
        <v>69</v>
      </c>
      <c r="AK3" t="s">
        <v>68</v>
      </c>
      <c r="AL3" t="s">
        <v>69</v>
      </c>
      <c r="AM3" t="s">
        <v>69</v>
      </c>
      <c r="AN3" t="s">
        <v>69</v>
      </c>
      <c r="AO3" t="s">
        <v>68</v>
      </c>
      <c r="AP3" t="s">
        <v>68</v>
      </c>
      <c r="AQ3" t="s">
        <v>68</v>
      </c>
      <c r="AR3" t="s">
        <v>68</v>
      </c>
      <c r="AS3" t="s">
        <v>68</v>
      </c>
      <c r="AT3" t="s">
        <v>68</v>
      </c>
      <c r="AU3" t="s">
        <v>68</v>
      </c>
      <c r="AV3" t="s">
        <v>69</v>
      </c>
      <c r="AW3" t="s">
        <v>69</v>
      </c>
      <c r="AX3" t="s">
        <v>68</v>
      </c>
      <c r="AY3" t="s">
        <v>69</v>
      </c>
      <c r="AZ3" t="s">
        <v>68</v>
      </c>
      <c r="BA3" t="s">
        <v>68</v>
      </c>
      <c r="BB3">
        <f>((COUNTIF(W3:AB3, "Yes") + COUNTIF(AC3:AH3, "Yes") + COUNTIF(AI3:AO3, "Yes") + COUNTIF(AP3:AW3, "Yes") + COUNTIF(AX3:BA3, "Yes")) / 31) *100</f>
        <v>51.612903225806448</v>
      </c>
      <c r="BC3">
        <f>COUNTIF(W3:AB3, "Yes") + COUNTIF(AC3:AH3, "Yes") + COUNTIF(AI3:AO3, "Yes") + COUNTIF(AP3:AW3, "Yes") + COUNTIF(AX3:BA3, "Yes")</f>
        <v>16</v>
      </c>
      <c r="BD3" t="str">
        <f t="shared" ref="BD3:BD33" si="3">IF(BB3 &lt;= 33, "Low", IF(BB3 &lt;= 66, "Moderate", "High"))</f>
        <v>Moderate</v>
      </c>
      <c r="BE3" t="s">
        <v>89</v>
      </c>
      <c r="BF3" s="13" t="s">
        <v>77</v>
      </c>
      <c r="BG3" s="9">
        <v>2016</v>
      </c>
      <c r="BH3" s="10" t="s">
        <v>84</v>
      </c>
      <c r="BJ3" t="s">
        <v>85</v>
      </c>
    </row>
    <row r="4" spans="1:62" x14ac:dyDescent="0.35">
      <c r="A4" t="s">
        <v>171</v>
      </c>
      <c r="B4">
        <v>64.578611109999997</v>
      </c>
      <c r="C4">
        <v>26.501666669999999</v>
      </c>
      <c r="D4" s="8">
        <v>1326</v>
      </c>
      <c r="E4" s="8" t="str">
        <f t="shared" si="0"/>
        <v>Medium</v>
      </c>
      <c r="F4" t="s">
        <v>63</v>
      </c>
      <c r="G4" t="s">
        <v>172</v>
      </c>
      <c r="H4">
        <v>2010</v>
      </c>
      <c r="I4" t="s">
        <v>65</v>
      </c>
      <c r="J4" t="s">
        <v>75</v>
      </c>
      <c r="L4" t="s">
        <v>67</v>
      </c>
      <c r="M4" t="s">
        <v>69</v>
      </c>
      <c r="N4" t="s">
        <v>68</v>
      </c>
      <c r="O4" t="s">
        <v>69</v>
      </c>
      <c r="P4" t="s">
        <v>68</v>
      </c>
      <c r="Q4" t="s">
        <v>68</v>
      </c>
      <c r="R4" t="s">
        <v>69</v>
      </c>
      <c r="S4" s="8">
        <f t="shared" si="1"/>
        <v>3</v>
      </c>
      <c r="T4" s="8">
        <v>0</v>
      </c>
      <c r="U4" s="8">
        <f t="shared" si="2"/>
        <v>50</v>
      </c>
      <c r="V4" t="s">
        <v>173</v>
      </c>
      <c r="W4" t="s">
        <v>68</v>
      </c>
      <c r="X4" t="s">
        <v>69</v>
      </c>
      <c r="Y4" t="s">
        <v>68</v>
      </c>
      <c r="Z4" t="s">
        <v>69</v>
      </c>
      <c r="AA4" t="s">
        <v>69</v>
      </c>
      <c r="AB4" t="s">
        <v>69</v>
      </c>
      <c r="AC4" t="s">
        <v>68</v>
      </c>
      <c r="AD4" t="s">
        <v>68</v>
      </c>
      <c r="AE4" t="s">
        <v>68</v>
      </c>
      <c r="AF4" t="s">
        <v>68</v>
      </c>
      <c r="AG4" t="s">
        <v>68</v>
      </c>
      <c r="AH4" t="s">
        <v>68</v>
      </c>
      <c r="AI4" t="s">
        <v>69</v>
      </c>
      <c r="AJ4" t="s">
        <v>68</v>
      </c>
      <c r="AK4" t="s">
        <v>68</v>
      </c>
      <c r="AL4" t="s">
        <v>68</v>
      </c>
      <c r="AM4" t="s">
        <v>69</v>
      </c>
      <c r="AN4" t="s">
        <v>68</v>
      </c>
      <c r="AO4" t="s">
        <v>69</v>
      </c>
      <c r="AP4" t="s">
        <v>68</v>
      </c>
      <c r="AQ4" t="s">
        <v>69</v>
      </c>
      <c r="AR4" t="s">
        <v>68</v>
      </c>
      <c r="AS4" t="s">
        <v>68</v>
      </c>
      <c r="AT4" t="s">
        <v>68</v>
      </c>
      <c r="AU4" t="s">
        <v>69</v>
      </c>
      <c r="AV4" t="s">
        <v>68</v>
      </c>
      <c r="AW4" t="s">
        <v>68</v>
      </c>
      <c r="AX4" t="s">
        <v>68</v>
      </c>
      <c r="AY4" t="s">
        <v>68</v>
      </c>
      <c r="AZ4" t="s">
        <v>68</v>
      </c>
      <c r="BA4" t="s">
        <v>68</v>
      </c>
      <c r="BB4">
        <f>((COUNTIF(W4:AB4, "Yes") + COUNTIF(AC4:AH4, "Yes") + COUNTIF(AI4:AO4, "Yes") + COUNTIF(AP4:AW4, "Yes") + COUNTIF(AX4:BA4, "Yes")) / 31) *100</f>
        <v>70.967741935483872</v>
      </c>
      <c r="BC4">
        <f>COUNTIF(W4:AB4, "Yes") + COUNTIF(AC4:AH4, "Yes") + COUNTIF(AI4:AO4, "Yes") + COUNTIF(AP4:AW4, "Yes") + COUNTIF(AX4:BA4, "Yes")</f>
        <v>22</v>
      </c>
      <c r="BD4" t="str">
        <f t="shared" si="3"/>
        <v>High</v>
      </c>
      <c r="BE4" t="s">
        <v>89</v>
      </c>
      <c r="BF4" s="13" t="s">
        <v>77</v>
      </c>
      <c r="BG4" s="9">
        <v>2017</v>
      </c>
      <c r="BH4" s="10" t="s">
        <v>84</v>
      </c>
      <c r="BI4" s="8"/>
      <c r="BJ4" t="s">
        <v>71</v>
      </c>
    </row>
    <row r="5" spans="1:62" x14ac:dyDescent="0.35">
      <c r="A5" t="s">
        <v>268</v>
      </c>
      <c r="B5">
        <v>63.630555555555503</v>
      </c>
      <c r="C5">
        <v>-19.621111111111102</v>
      </c>
      <c r="D5" s="8">
        <v>9542</v>
      </c>
      <c r="E5" s="8" t="str">
        <f t="shared" si="0"/>
        <v>Large</v>
      </c>
      <c r="F5" t="s">
        <v>63</v>
      </c>
      <c r="G5" t="s">
        <v>141</v>
      </c>
      <c r="H5">
        <v>2011</v>
      </c>
      <c r="I5" t="s">
        <v>87</v>
      </c>
      <c r="J5" t="s">
        <v>66</v>
      </c>
      <c r="L5" s="12" t="s">
        <v>67</v>
      </c>
      <c r="M5" t="s">
        <v>68</v>
      </c>
      <c r="N5" t="s">
        <v>68</v>
      </c>
      <c r="O5" t="s">
        <v>69</v>
      </c>
      <c r="P5" s="12" t="s">
        <v>68</v>
      </c>
      <c r="Q5" t="s">
        <v>68</v>
      </c>
      <c r="R5" s="12" t="s">
        <v>68</v>
      </c>
      <c r="S5" s="8">
        <f t="shared" si="1"/>
        <v>5</v>
      </c>
      <c r="T5" s="8">
        <v>0</v>
      </c>
      <c r="U5" s="8">
        <f t="shared" si="2"/>
        <v>83.333333333333343</v>
      </c>
      <c r="W5" t="s">
        <v>68</v>
      </c>
      <c r="X5" t="s">
        <v>69</v>
      </c>
      <c r="Y5" t="s">
        <v>68</v>
      </c>
      <c r="Z5" t="s">
        <v>68</v>
      </c>
      <c r="AA5" t="s">
        <v>69</v>
      </c>
      <c r="AB5" t="s">
        <v>69</v>
      </c>
      <c r="AC5" t="s">
        <v>69</v>
      </c>
      <c r="AD5" s="12" t="s">
        <v>68</v>
      </c>
      <c r="AE5" t="s">
        <v>69</v>
      </c>
      <c r="AF5" t="s">
        <v>69</v>
      </c>
      <c r="AG5" t="s">
        <v>68</v>
      </c>
      <c r="AH5" s="12" t="s">
        <v>68</v>
      </c>
      <c r="AI5" t="s">
        <v>68</v>
      </c>
      <c r="AJ5" s="12" t="s">
        <v>68</v>
      </c>
      <c r="AK5" t="s">
        <v>68</v>
      </c>
      <c r="AL5" t="s">
        <v>69</v>
      </c>
      <c r="AM5" t="s">
        <v>69</v>
      </c>
      <c r="AN5" t="s">
        <v>68</v>
      </c>
      <c r="AO5" t="s">
        <v>68</v>
      </c>
      <c r="AP5" t="s">
        <v>68</v>
      </c>
      <c r="AQ5" t="s">
        <v>69</v>
      </c>
      <c r="AR5" s="12" t="s">
        <v>68</v>
      </c>
      <c r="AS5" t="s">
        <v>69</v>
      </c>
      <c r="AT5" t="s">
        <v>68</v>
      </c>
      <c r="AU5" t="s">
        <v>68</v>
      </c>
      <c r="AV5" t="s">
        <v>69</v>
      </c>
      <c r="AW5" t="s">
        <v>68</v>
      </c>
      <c r="AX5" t="s">
        <v>68</v>
      </c>
      <c r="AY5" t="s">
        <v>68</v>
      </c>
      <c r="AZ5" t="s">
        <v>68</v>
      </c>
      <c r="BA5" t="s">
        <v>68</v>
      </c>
      <c r="BB5">
        <f>((COUNTIF(W5:AB5, "Yes") + COUNTIF(AC5:AH5, "Yes") + COUNTIF(AI5:AO5, "Yes") + COUNTIF(AP5:AW5, "Yes") + COUNTIF(AX5:BA5, "Yes")) / 31) *100</f>
        <v>64.516129032258064</v>
      </c>
      <c r="BC5">
        <f>COUNTIF(W5:AB5, "Yes") + COUNTIF(AC5:AH5, "Yes") + COUNTIF(AI5:AO5, "Yes") + COUNTIF(AP5:AW5, "Yes") + COUNTIF(AX5:BA5, "Yes")</f>
        <v>20</v>
      </c>
      <c r="BD5" t="str">
        <f t="shared" si="3"/>
        <v>Moderate</v>
      </c>
      <c r="BE5" t="s">
        <v>89</v>
      </c>
      <c r="BF5" s="13" t="s">
        <v>83</v>
      </c>
      <c r="BG5" s="9">
        <v>2018</v>
      </c>
      <c r="BH5" s="10" t="s">
        <v>84</v>
      </c>
      <c r="BI5" s="8"/>
      <c r="BJ5" t="s">
        <v>71</v>
      </c>
    </row>
    <row r="6" spans="1:62" x14ac:dyDescent="0.35">
      <c r="A6" t="s">
        <v>227</v>
      </c>
      <c r="B6">
        <v>46.976388888888799</v>
      </c>
      <c r="C6">
        <v>17.928611111111099</v>
      </c>
      <c r="D6" s="8">
        <v>3244</v>
      </c>
      <c r="E6" s="8" t="str">
        <f t="shared" si="0"/>
        <v>Medium</v>
      </c>
      <c r="F6" t="s">
        <v>63</v>
      </c>
      <c r="G6" t="s">
        <v>228</v>
      </c>
      <c r="H6">
        <v>2012</v>
      </c>
      <c r="I6" t="s">
        <v>87</v>
      </c>
      <c r="J6" t="s">
        <v>75</v>
      </c>
      <c r="L6" t="s">
        <v>67</v>
      </c>
      <c r="M6" t="s">
        <v>68</v>
      </c>
      <c r="N6" t="s">
        <v>68</v>
      </c>
      <c r="O6" t="s">
        <v>68</v>
      </c>
      <c r="P6" t="s">
        <v>68</v>
      </c>
      <c r="Q6" t="s">
        <v>68</v>
      </c>
      <c r="R6" t="s">
        <v>68</v>
      </c>
      <c r="S6" s="8">
        <f t="shared" si="1"/>
        <v>6</v>
      </c>
      <c r="T6" s="8">
        <v>0</v>
      </c>
      <c r="U6" s="8">
        <f t="shared" si="2"/>
        <v>100</v>
      </c>
      <c r="W6" t="s">
        <v>68</v>
      </c>
      <c r="X6" t="s">
        <v>69</v>
      </c>
      <c r="Y6" t="s">
        <v>68</v>
      </c>
      <c r="Z6" t="s">
        <v>68</v>
      </c>
      <c r="AA6" t="s">
        <v>69</v>
      </c>
      <c r="AB6" t="s">
        <v>68</v>
      </c>
      <c r="AC6" t="s">
        <v>68</v>
      </c>
      <c r="AD6" t="s">
        <v>68</v>
      </c>
      <c r="AE6" t="s">
        <v>69</v>
      </c>
      <c r="AF6" t="s">
        <v>68</v>
      </c>
      <c r="AG6" t="s">
        <v>68</v>
      </c>
      <c r="AH6" t="s">
        <v>68</v>
      </c>
      <c r="AI6" t="s">
        <v>68</v>
      </c>
      <c r="AJ6" t="s">
        <v>68</v>
      </c>
      <c r="AK6" t="s">
        <v>68</v>
      </c>
      <c r="AL6" t="s">
        <v>68</v>
      </c>
      <c r="AM6" t="s">
        <v>69</v>
      </c>
      <c r="AN6" t="s">
        <v>68</v>
      </c>
      <c r="AO6" t="s">
        <v>69</v>
      </c>
      <c r="AP6" t="s">
        <v>68</v>
      </c>
      <c r="AQ6" t="s">
        <v>68</v>
      </c>
      <c r="AR6" t="s">
        <v>68</v>
      </c>
      <c r="AS6" t="s">
        <v>68</v>
      </c>
      <c r="AT6" t="s">
        <v>68</v>
      </c>
      <c r="AU6" t="s">
        <v>68</v>
      </c>
      <c r="AV6" t="s">
        <v>68</v>
      </c>
      <c r="AW6" t="s">
        <v>69</v>
      </c>
      <c r="AX6" t="s">
        <v>68</v>
      </c>
      <c r="AY6" t="s">
        <v>68</v>
      </c>
      <c r="AZ6" t="s">
        <v>69</v>
      </c>
      <c r="BA6" t="s">
        <v>68</v>
      </c>
      <c r="BB6">
        <f>((COUNTIF(W6:AB6, "Yes") + COUNTIF(AC6:AH6, "Yes") + COUNTIF(AI6:AO6, "Yes") + COUNTIF(AP6:AW6, "Yes") + COUNTIF(AX6:BA6, "Yes")) / 31) *100</f>
        <v>77.41935483870968</v>
      </c>
      <c r="BC6">
        <f>COUNTIF(W6:AB6, "Yes") + COUNTIF(AC6:AH6, "Yes") + COUNTIF(AI6:AO6, "Yes") + COUNTIF(AP6:AW6, "Yes") + COUNTIF(AX6:BA6, "Yes")</f>
        <v>24</v>
      </c>
      <c r="BD6" t="str">
        <f t="shared" si="3"/>
        <v>High</v>
      </c>
      <c r="BE6" t="s">
        <v>76</v>
      </c>
      <c r="BF6" s="13" t="s">
        <v>83</v>
      </c>
      <c r="BG6" s="9">
        <v>2017</v>
      </c>
      <c r="BH6" s="10" t="s">
        <v>84</v>
      </c>
      <c r="BI6" s="8">
        <v>0.05</v>
      </c>
      <c r="BJ6" t="s">
        <v>78</v>
      </c>
    </row>
    <row r="7" spans="1:62" x14ac:dyDescent="0.35">
      <c r="A7" t="s">
        <v>244</v>
      </c>
      <c r="B7">
        <v>62.151944444444403</v>
      </c>
      <c r="C7">
        <v>22.175000000000001</v>
      </c>
      <c r="D7" s="8">
        <v>4907</v>
      </c>
      <c r="E7" s="8" t="str">
        <f t="shared" si="0"/>
        <v>Medium</v>
      </c>
      <c r="F7" t="s">
        <v>63</v>
      </c>
      <c r="G7" t="s">
        <v>172</v>
      </c>
      <c r="H7">
        <v>2020</v>
      </c>
      <c r="I7" t="s">
        <v>82</v>
      </c>
      <c r="J7" t="s">
        <v>75</v>
      </c>
      <c r="L7" t="s">
        <v>67</v>
      </c>
      <c r="M7" t="s">
        <v>69</v>
      </c>
      <c r="N7" t="s">
        <v>69</v>
      </c>
      <c r="O7" t="s">
        <v>69</v>
      </c>
      <c r="P7" t="s">
        <v>68</v>
      </c>
      <c r="Q7" t="s">
        <v>68</v>
      </c>
      <c r="R7" t="s">
        <v>68</v>
      </c>
      <c r="S7" s="8">
        <f t="shared" si="1"/>
        <v>3</v>
      </c>
      <c r="T7" s="8">
        <v>0</v>
      </c>
      <c r="U7" s="8">
        <f t="shared" si="2"/>
        <v>50</v>
      </c>
      <c r="V7" t="s">
        <v>245</v>
      </c>
      <c r="W7" t="s">
        <v>68</v>
      </c>
      <c r="X7" t="s">
        <v>69</v>
      </c>
      <c r="Y7" t="s">
        <v>68</v>
      </c>
      <c r="Z7" t="s">
        <v>68</v>
      </c>
      <c r="AA7" t="s">
        <v>68</v>
      </c>
      <c r="AB7" t="s">
        <v>68</v>
      </c>
      <c r="AC7" t="s">
        <v>68</v>
      </c>
      <c r="AD7" t="s">
        <v>68</v>
      </c>
      <c r="AE7" t="s">
        <v>68</v>
      </c>
      <c r="AF7" t="s">
        <v>68</v>
      </c>
      <c r="AG7" t="s">
        <v>68</v>
      </c>
      <c r="AH7" t="s">
        <v>68</v>
      </c>
      <c r="AI7" t="s">
        <v>69</v>
      </c>
      <c r="AJ7" t="s">
        <v>68</v>
      </c>
      <c r="AK7" t="s">
        <v>68</v>
      </c>
      <c r="AL7" t="s">
        <v>68</v>
      </c>
      <c r="AM7" t="s">
        <v>68</v>
      </c>
      <c r="AN7" t="s">
        <v>68</v>
      </c>
      <c r="AO7" t="s">
        <v>68</v>
      </c>
      <c r="AP7" t="s">
        <v>68</v>
      </c>
      <c r="AQ7" t="s">
        <v>68</v>
      </c>
      <c r="AR7" t="s">
        <v>68</v>
      </c>
      <c r="AS7" t="s">
        <v>68</v>
      </c>
      <c r="AT7" t="s">
        <v>68</v>
      </c>
      <c r="AU7" t="s">
        <v>68</v>
      </c>
      <c r="AV7" t="s">
        <v>68</v>
      </c>
      <c r="AW7" t="s">
        <v>68</v>
      </c>
      <c r="AX7" t="s">
        <v>68</v>
      </c>
      <c r="AY7" t="s">
        <v>68</v>
      </c>
      <c r="AZ7" t="s">
        <v>68</v>
      </c>
      <c r="BA7" t="s">
        <v>68</v>
      </c>
      <c r="BB7">
        <f>((COUNTIF(W7:AB7, "Yes") + COUNTIF(AC7:AH7, "Yes") + COUNTIF(AI7:AO7, "Yes") + COUNTIF(AP7:AW7, "Yes") + COUNTIF(AX7:BA7, "Yes")) / 31) *100</f>
        <v>93.548387096774192</v>
      </c>
      <c r="BC7">
        <f>COUNTIF(W7:AB7, "Yes") + COUNTIF(AC7:AH7, "Yes") + COUNTIF(AI7:AO7, "Yes") + COUNTIF(AP7:AW7, "Yes") + COUNTIF(AX7:BA7, "Yes")</f>
        <v>29</v>
      </c>
      <c r="BD7" t="str">
        <f t="shared" si="3"/>
        <v>High</v>
      </c>
      <c r="BE7" t="s">
        <v>76</v>
      </c>
      <c r="BF7" s="13" t="s">
        <v>77</v>
      </c>
      <c r="BG7" s="9">
        <v>2018</v>
      </c>
      <c r="BH7" s="10" t="s">
        <v>84</v>
      </c>
      <c r="BI7" s="8">
        <v>0.25</v>
      </c>
      <c r="BJ7" t="s">
        <v>78</v>
      </c>
    </row>
    <row r="8" spans="1:62" x14ac:dyDescent="0.35">
      <c r="A8" t="s">
        <v>222</v>
      </c>
      <c r="B8">
        <v>19.9436111111111</v>
      </c>
      <c r="C8">
        <v>110.210833333333</v>
      </c>
      <c r="D8" s="8">
        <v>3050</v>
      </c>
      <c r="E8" s="8" t="str">
        <f t="shared" si="0"/>
        <v>Medium</v>
      </c>
      <c r="F8" t="s">
        <v>80</v>
      </c>
      <c r="G8" t="s">
        <v>81</v>
      </c>
      <c r="H8">
        <v>2006</v>
      </c>
      <c r="I8" t="s">
        <v>65</v>
      </c>
      <c r="J8" t="s">
        <v>10</v>
      </c>
      <c r="L8" t="s">
        <v>223</v>
      </c>
      <c r="M8" t="s">
        <v>68</v>
      </c>
      <c r="N8" t="s">
        <v>69</v>
      </c>
      <c r="O8" t="s">
        <v>69</v>
      </c>
      <c r="P8" t="s">
        <v>69</v>
      </c>
      <c r="Q8" t="s">
        <v>69</v>
      </c>
      <c r="R8" t="s">
        <v>69</v>
      </c>
      <c r="S8" s="8">
        <f t="shared" si="1"/>
        <v>1</v>
      </c>
      <c r="T8" s="8">
        <v>0</v>
      </c>
      <c r="U8" s="8">
        <f t="shared" si="2"/>
        <v>16.666666666666664</v>
      </c>
      <c r="W8" t="s">
        <v>69</v>
      </c>
      <c r="X8" t="s">
        <v>69</v>
      </c>
      <c r="Y8" t="s">
        <v>68</v>
      </c>
      <c r="Z8" t="s">
        <v>69</v>
      </c>
      <c r="AA8" t="s">
        <v>68</v>
      </c>
      <c r="AB8" t="s">
        <v>69</v>
      </c>
      <c r="AC8" t="s">
        <v>69</v>
      </c>
      <c r="AD8" t="s">
        <v>68</v>
      </c>
      <c r="AE8" t="s">
        <v>68</v>
      </c>
      <c r="AF8" t="s">
        <v>69</v>
      </c>
      <c r="AG8" t="s">
        <v>69</v>
      </c>
      <c r="AH8" t="s">
        <v>69</v>
      </c>
      <c r="AI8" t="s">
        <v>68</v>
      </c>
      <c r="AJ8" t="s">
        <v>69</v>
      </c>
      <c r="AK8" t="s">
        <v>68</v>
      </c>
      <c r="AL8" t="s">
        <v>68</v>
      </c>
      <c r="AM8" t="s">
        <v>68</v>
      </c>
      <c r="AN8" t="s">
        <v>69</v>
      </c>
      <c r="AO8" t="s">
        <v>69</v>
      </c>
      <c r="AP8" t="s">
        <v>68</v>
      </c>
      <c r="AQ8" t="s">
        <v>69</v>
      </c>
      <c r="AR8" t="s">
        <v>68</v>
      </c>
      <c r="AS8" t="s">
        <v>69</v>
      </c>
      <c r="AT8" t="s">
        <v>68</v>
      </c>
      <c r="AU8" t="s">
        <v>69</v>
      </c>
      <c r="AV8" t="s">
        <v>68</v>
      </c>
      <c r="AW8" t="s">
        <v>69</v>
      </c>
      <c r="AX8" t="s">
        <v>68</v>
      </c>
      <c r="AY8" t="s">
        <v>69</v>
      </c>
      <c r="AZ8" t="s">
        <v>68</v>
      </c>
      <c r="BA8" t="s">
        <v>68</v>
      </c>
      <c r="BB8">
        <f>((COUNTIF(W8:AB8, "Yes") + COUNTIF(AC8:AH8, "Yes") + COUNTIF(AI8:AO8, "Yes") + COUNTIF(AP8:AW8, "Yes") + COUNTIF(AX8:BA8, "Yes")) / 31) *100</f>
        <v>48.387096774193552</v>
      </c>
      <c r="BC8">
        <f>COUNTIF(W8:AB8, "Yes") + COUNTIF(AC8:AH8, "Yes") + COUNTIF(AI8:AO8, "Yes") + COUNTIF(AP8:AW8, "Yes") + COUNTIF(AX8:BA8, "Yes")</f>
        <v>15</v>
      </c>
      <c r="BD8" t="str">
        <f t="shared" si="3"/>
        <v>Moderate</v>
      </c>
      <c r="BE8" t="s">
        <v>89</v>
      </c>
      <c r="BF8" s="13" t="s">
        <v>83</v>
      </c>
      <c r="BG8" s="9">
        <v>2019</v>
      </c>
      <c r="BH8" s="10" t="s">
        <v>84</v>
      </c>
      <c r="BI8" s="8">
        <v>0.25</v>
      </c>
      <c r="BJ8" t="s">
        <v>78</v>
      </c>
    </row>
    <row r="9" spans="1:62" x14ac:dyDescent="0.35">
      <c r="A9" t="s">
        <v>259</v>
      </c>
      <c r="B9">
        <v>35.82</v>
      </c>
      <c r="C9">
        <v>94.88</v>
      </c>
      <c r="D9" s="8">
        <v>7033.17</v>
      </c>
      <c r="E9" s="8" t="str">
        <f t="shared" si="0"/>
        <v>Large</v>
      </c>
      <c r="F9" t="s">
        <v>80</v>
      </c>
      <c r="G9" t="s">
        <v>81</v>
      </c>
      <c r="H9">
        <v>2014</v>
      </c>
      <c r="I9" t="s">
        <v>87</v>
      </c>
      <c r="J9" t="s">
        <v>10</v>
      </c>
      <c r="K9" t="s">
        <v>110</v>
      </c>
      <c r="L9" t="s">
        <v>223</v>
      </c>
      <c r="M9" t="s">
        <v>69</v>
      </c>
      <c r="N9" t="s">
        <v>69</v>
      </c>
      <c r="O9" t="s">
        <v>69</v>
      </c>
      <c r="P9" t="s">
        <v>69</v>
      </c>
      <c r="Q9" t="s">
        <v>69</v>
      </c>
      <c r="R9" t="s">
        <v>69</v>
      </c>
      <c r="S9" s="8">
        <f t="shared" si="1"/>
        <v>0</v>
      </c>
      <c r="T9" s="8">
        <v>0</v>
      </c>
      <c r="U9" s="8">
        <f t="shared" si="2"/>
        <v>0</v>
      </c>
      <c r="W9" t="s">
        <v>69</v>
      </c>
      <c r="X9" t="s">
        <v>69</v>
      </c>
      <c r="Y9" t="s">
        <v>68</v>
      </c>
      <c r="Z9" t="s">
        <v>69</v>
      </c>
      <c r="AA9" t="s">
        <v>68</v>
      </c>
      <c r="AB9" t="s">
        <v>69</v>
      </c>
      <c r="AC9" t="s">
        <v>68</v>
      </c>
      <c r="AD9" t="s">
        <v>68</v>
      </c>
      <c r="AE9" t="s">
        <v>68</v>
      </c>
      <c r="AF9" t="s">
        <v>68</v>
      </c>
      <c r="AG9" t="s">
        <v>68</v>
      </c>
      <c r="AH9" t="s">
        <v>68</v>
      </c>
      <c r="AI9" t="s">
        <v>68</v>
      </c>
      <c r="AJ9" t="s">
        <v>68</v>
      </c>
      <c r="AK9" t="s">
        <v>68</v>
      </c>
      <c r="AL9" t="s">
        <v>68</v>
      </c>
      <c r="AM9" t="s">
        <v>68</v>
      </c>
      <c r="AN9" t="s">
        <v>69</v>
      </c>
      <c r="AO9" t="s">
        <v>69</v>
      </c>
      <c r="AP9" t="s">
        <v>69</v>
      </c>
      <c r="AQ9" t="s">
        <v>68</v>
      </c>
      <c r="AR9" t="s">
        <v>68</v>
      </c>
      <c r="AS9" t="s">
        <v>68</v>
      </c>
      <c r="AT9" t="s">
        <v>68</v>
      </c>
      <c r="AU9" t="s">
        <v>68</v>
      </c>
      <c r="AV9" t="s">
        <v>68</v>
      </c>
      <c r="AW9" t="s">
        <v>69</v>
      </c>
      <c r="AX9" t="s">
        <v>68</v>
      </c>
      <c r="AY9" t="s">
        <v>68</v>
      </c>
      <c r="AZ9" t="s">
        <v>68</v>
      </c>
      <c r="BA9" t="s">
        <v>68</v>
      </c>
      <c r="BB9">
        <f>((COUNTIF(W9:AB9, "Yes") + COUNTIF(AC9:AH9, "Yes") + COUNTIF(AI9:AO9, "Yes") + COUNTIF(AP9:AW9, "Yes") + COUNTIF(AX9:BA9, "Yes")) / 31) *100</f>
        <v>74.193548387096769</v>
      </c>
      <c r="BC9">
        <f>COUNTIF(W9:AB9, "Yes") + COUNTIF(AC9:AH9, "Yes") + COUNTIF(AI9:AO9, "Yes") + COUNTIF(AP9:AW9, "Yes") + COUNTIF(AX9:BA9, "Yes")</f>
        <v>23</v>
      </c>
      <c r="BD9" t="str">
        <f t="shared" si="3"/>
        <v>High</v>
      </c>
      <c r="BE9" t="s">
        <v>76</v>
      </c>
      <c r="BF9" s="13" t="s">
        <v>77</v>
      </c>
      <c r="BG9" s="9">
        <v>2018</v>
      </c>
      <c r="BH9" s="10" t="s">
        <v>84</v>
      </c>
      <c r="BI9" s="8">
        <v>0.2</v>
      </c>
      <c r="BJ9" t="s">
        <v>78</v>
      </c>
    </row>
    <row r="10" spans="1:62" x14ac:dyDescent="0.35">
      <c r="A10" t="s">
        <v>194</v>
      </c>
      <c r="B10">
        <v>39.892777777777702</v>
      </c>
      <c r="C10">
        <v>92.996388888888802</v>
      </c>
      <c r="D10" s="8">
        <v>2067</v>
      </c>
      <c r="E10" s="8" t="str">
        <f t="shared" si="0"/>
        <v>Medium</v>
      </c>
      <c r="F10" t="s">
        <v>80</v>
      </c>
      <c r="G10" t="s">
        <v>81</v>
      </c>
      <c r="H10">
        <v>2015</v>
      </c>
      <c r="I10" t="s">
        <v>82</v>
      </c>
      <c r="J10" t="s">
        <v>66</v>
      </c>
      <c r="L10" t="s">
        <v>183</v>
      </c>
      <c r="M10" t="s">
        <v>68</v>
      </c>
      <c r="N10" t="s">
        <v>69</v>
      </c>
      <c r="O10" t="s">
        <v>69</v>
      </c>
      <c r="P10" t="s">
        <v>69</v>
      </c>
      <c r="Q10" t="s">
        <v>69</v>
      </c>
      <c r="R10" t="s">
        <v>69</v>
      </c>
      <c r="S10" s="8">
        <f t="shared" si="1"/>
        <v>1</v>
      </c>
      <c r="T10" s="8">
        <v>0</v>
      </c>
      <c r="U10" s="8">
        <f t="shared" si="2"/>
        <v>16.666666666666664</v>
      </c>
      <c r="W10" t="s">
        <v>68</v>
      </c>
      <c r="X10" t="s">
        <v>69</v>
      </c>
      <c r="Y10" t="s">
        <v>68</v>
      </c>
      <c r="Z10" t="s">
        <v>69</v>
      </c>
      <c r="AA10" t="s">
        <v>69</v>
      </c>
      <c r="AB10" t="s">
        <v>68</v>
      </c>
      <c r="AC10" t="s">
        <v>68</v>
      </c>
      <c r="AD10" t="s">
        <v>69</v>
      </c>
      <c r="AE10" t="s">
        <v>69</v>
      </c>
      <c r="AF10" t="s">
        <v>68</v>
      </c>
      <c r="AG10" t="s">
        <v>69</v>
      </c>
      <c r="AH10" t="s">
        <v>68</v>
      </c>
      <c r="AI10" t="s">
        <v>68</v>
      </c>
      <c r="AJ10" t="s">
        <v>68</v>
      </c>
      <c r="AK10" t="s">
        <v>69</v>
      </c>
      <c r="AL10" t="s">
        <v>68</v>
      </c>
      <c r="AM10" t="s">
        <v>69</v>
      </c>
      <c r="AN10" t="s">
        <v>69</v>
      </c>
      <c r="AO10" t="s">
        <v>69</v>
      </c>
      <c r="AP10" t="s">
        <v>68</v>
      </c>
      <c r="AQ10" t="s">
        <v>68</v>
      </c>
      <c r="AR10" t="s">
        <v>68</v>
      </c>
      <c r="AS10" t="s">
        <v>68</v>
      </c>
      <c r="AT10" t="s">
        <v>68</v>
      </c>
      <c r="AU10" t="s">
        <v>69</v>
      </c>
      <c r="AV10" t="s">
        <v>69</v>
      </c>
      <c r="AW10" t="s">
        <v>69</v>
      </c>
      <c r="AX10" t="s">
        <v>69</v>
      </c>
      <c r="AY10" t="s">
        <v>68</v>
      </c>
      <c r="AZ10" t="s">
        <v>68</v>
      </c>
      <c r="BA10" t="s">
        <v>68</v>
      </c>
      <c r="BB10">
        <f>((COUNTIF(W10:AB10, "Yes") + COUNTIF(AC10:AH10, "Yes") + COUNTIF(AI10:AO10, "Yes") + COUNTIF(AP10:AW10, "Yes") + COUNTIF(AX10:BA10, "Yes")) / 31) *100</f>
        <v>54.838709677419352</v>
      </c>
      <c r="BC10">
        <f>COUNTIF(W10:AB10, "Yes") + COUNTIF(AC10:AH10, "Yes") + COUNTIF(AI10:AO10, "Yes") + COUNTIF(AP10:AW10, "Yes") + COUNTIF(AX10:BA10, "Yes")</f>
        <v>17</v>
      </c>
      <c r="BD10" t="str">
        <f t="shared" si="3"/>
        <v>Moderate</v>
      </c>
      <c r="BE10" t="s">
        <v>76</v>
      </c>
      <c r="BF10" s="13" t="s">
        <v>77</v>
      </c>
      <c r="BG10" s="9">
        <v>2023</v>
      </c>
      <c r="BH10" s="10" t="s">
        <v>72</v>
      </c>
      <c r="BI10" s="8"/>
      <c r="BJ10" t="s">
        <v>71</v>
      </c>
    </row>
    <row r="11" spans="1:62" x14ac:dyDescent="0.35">
      <c r="A11" t="s">
        <v>107</v>
      </c>
      <c r="B11">
        <v>55.83</v>
      </c>
      <c r="C11">
        <v>11.58</v>
      </c>
      <c r="D11" s="8">
        <v>355</v>
      </c>
      <c r="E11" s="8" t="str">
        <f t="shared" si="0"/>
        <v>Small</v>
      </c>
      <c r="F11" t="s">
        <v>63</v>
      </c>
      <c r="G11" t="s">
        <v>108</v>
      </c>
      <c r="H11">
        <v>2014</v>
      </c>
      <c r="I11" t="s">
        <v>87</v>
      </c>
      <c r="J11" t="s">
        <v>75</v>
      </c>
      <c r="L11" t="s">
        <v>105</v>
      </c>
      <c r="M11" t="s">
        <v>69</v>
      </c>
      <c r="N11" t="s">
        <v>69</v>
      </c>
      <c r="O11" t="s">
        <v>68</v>
      </c>
      <c r="P11" t="s">
        <v>68</v>
      </c>
      <c r="Q11" t="s">
        <v>69</v>
      </c>
      <c r="R11" t="s">
        <v>68</v>
      </c>
      <c r="S11" s="8">
        <f t="shared" si="1"/>
        <v>3</v>
      </c>
      <c r="T11" s="8">
        <v>0</v>
      </c>
      <c r="U11" s="8">
        <f t="shared" si="2"/>
        <v>50</v>
      </c>
      <c r="W11" t="s">
        <v>69</v>
      </c>
      <c r="X11" t="s">
        <v>69</v>
      </c>
      <c r="Y11" t="s">
        <v>68</v>
      </c>
      <c r="Z11" t="s">
        <v>68</v>
      </c>
      <c r="AA11" t="s">
        <v>69</v>
      </c>
      <c r="AB11" t="s">
        <v>69</v>
      </c>
      <c r="AC11" t="s">
        <v>69</v>
      </c>
      <c r="AD11" t="s">
        <v>69</v>
      </c>
      <c r="AE11" t="s">
        <v>69</v>
      </c>
      <c r="AF11" t="s">
        <v>69</v>
      </c>
      <c r="AG11" t="s">
        <v>68</v>
      </c>
      <c r="AH11" t="s">
        <v>68</v>
      </c>
      <c r="AI11" t="s">
        <v>69</v>
      </c>
      <c r="AJ11" t="s">
        <v>68</v>
      </c>
      <c r="AK11" t="s">
        <v>69</v>
      </c>
      <c r="AL11" t="s">
        <v>68</v>
      </c>
      <c r="AM11" t="s">
        <v>69</v>
      </c>
      <c r="AN11" t="s">
        <v>69</v>
      </c>
      <c r="AO11" t="s">
        <v>68</v>
      </c>
      <c r="AP11" t="s">
        <v>69</v>
      </c>
      <c r="AQ11" t="s">
        <v>69</v>
      </c>
      <c r="AR11" t="s">
        <v>68</v>
      </c>
      <c r="AS11" t="s">
        <v>68</v>
      </c>
      <c r="AT11" t="s">
        <v>68</v>
      </c>
      <c r="AU11" t="s">
        <v>69</v>
      </c>
      <c r="AV11" t="s">
        <v>69</v>
      </c>
      <c r="AW11" t="s">
        <v>69</v>
      </c>
      <c r="AX11" t="s">
        <v>68</v>
      </c>
      <c r="AY11" t="s">
        <v>69</v>
      </c>
      <c r="AZ11" t="s">
        <v>68</v>
      </c>
      <c r="BA11" t="s">
        <v>68</v>
      </c>
      <c r="BB11">
        <f>((COUNTIF(W11:AB11, "Yes") + COUNTIF(AC11:AH11, "Yes") + COUNTIF(AI11:AO11, "Yes") + COUNTIF(AP11:AW11, "Yes") + COUNTIF(AX11:BA11, "Yes")) / 31) *100</f>
        <v>41.935483870967744</v>
      </c>
      <c r="BC11">
        <f>COUNTIF(W11:AB11, "Yes") + COUNTIF(AC11:AH11, "Yes") + COUNTIF(AI11:AO11, "Yes") + COUNTIF(AP11:AW11, "Yes") + COUNTIF(AX11:BA11, "Yes")</f>
        <v>13</v>
      </c>
      <c r="BD11" t="str">
        <f t="shared" si="3"/>
        <v>Moderate</v>
      </c>
      <c r="BE11" t="s">
        <v>76</v>
      </c>
      <c r="BF11" s="13" t="s">
        <v>98</v>
      </c>
      <c r="BG11" s="9">
        <v>2023</v>
      </c>
      <c r="BH11" s="10" t="s">
        <v>72</v>
      </c>
      <c r="BI11" s="8">
        <v>0.1</v>
      </c>
      <c r="BJ11" t="s">
        <v>78</v>
      </c>
    </row>
    <row r="12" spans="1:62" x14ac:dyDescent="0.35">
      <c r="A12" t="s">
        <v>127</v>
      </c>
      <c r="B12">
        <v>41.54</v>
      </c>
      <c r="C12">
        <v>-6.97</v>
      </c>
      <c r="D12" s="8">
        <v>700</v>
      </c>
      <c r="E12" s="8" t="str">
        <f t="shared" si="0"/>
        <v>Small</v>
      </c>
      <c r="F12" t="s">
        <v>63</v>
      </c>
      <c r="G12" t="s">
        <v>128</v>
      </c>
      <c r="H12">
        <v>2014</v>
      </c>
      <c r="I12" t="s">
        <v>87</v>
      </c>
      <c r="J12" t="s">
        <v>75</v>
      </c>
      <c r="L12" t="s">
        <v>105</v>
      </c>
      <c r="M12" t="s">
        <v>68</v>
      </c>
      <c r="N12" t="s">
        <v>69</v>
      </c>
      <c r="O12" t="s">
        <v>69</v>
      </c>
      <c r="P12" t="s">
        <v>68</v>
      </c>
      <c r="Q12" t="s">
        <v>68</v>
      </c>
      <c r="R12" t="s">
        <v>69</v>
      </c>
      <c r="S12" s="8">
        <f t="shared" si="1"/>
        <v>3</v>
      </c>
      <c r="T12" s="8">
        <v>0</v>
      </c>
      <c r="U12" s="8">
        <f t="shared" si="2"/>
        <v>50</v>
      </c>
      <c r="W12" t="s">
        <v>68</v>
      </c>
      <c r="X12" t="s">
        <v>69</v>
      </c>
      <c r="Y12" t="s">
        <v>68</v>
      </c>
      <c r="Z12" t="s">
        <v>69</v>
      </c>
      <c r="AA12" t="s">
        <v>69</v>
      </c>
      <c r="AB12" t="s">
        <v>68</v>
      </c>
      <c r="AC12" t="s">
        <v>69</v>
      </c>
      <c r="AD12" t="s">
        <v>69</v>
      </c>
      <c r="AE12" t="s">
        <v>68</v>
      </c>
      <c r="AF12" t="s">
        <v>68</v>
      </c>
      <c r="AG12" t="s">
        <v>68</v>
      </c>
      <c r="AH12" t="s">
        <v>69</v>
      </c>
      <c r="AI12" t="s">
        <v>69</v>
      </c>
      <c r="AJ12" t="s">
        <v>68</v>
      </c>
      <c r="AK12" t="s">
        <v>68</v>
      </c>
      <c r="AL12" t="s">
        <v>69</v>
      </c>
      <c r="AM12" t="s">
        <v>69</v>
      </c>
      <c r="AN12" t="s">
        <v>69</v>
      </c>
      <c r="AO12" t="s">
        <v>69</v>
      </c>
      <c r="AP12" t="s">
        <v>68</v>
      </c>
      <c r="AQ12" t="s">
        <v>69</v>
      </c>
      <c r="AR12" t="s">
        <v>69</v>
      </c>
      <c r="AS12" t="s">
        <v>69</v>
      </c>
      <c r="AT12" t="s">
        <v>68</v>
      </c>
      <c r="AU12" t="s">
        <v>69</v>
      </c>
      <c r="AV12" t="s">
        <v>68</v>
      </c>
      <c r="AW12" t="s">
        <v>69</v>
      </c>
      <c r="AX12" t="s">
        <v>68</v>
      </c>
      <c r="AY12" t="s">
        <v>68</v>
      </c>
      <c r="AZ12" t="s">
        <v>69</v>
      </c>
      <c r="BA12" t="s">
        <v>68</v>
      </c>
      <c r="BB12">
        <f>((COUNTIF(W12:AB12, "Yes") + COUNTIF(AC12:AH12, "Yes") + COUNTIF(AI12:AO12, "Yes") + COUNTIF(AP12:AW12, "Yes") + COUNTIF(AX12:BA12, "Yes")) / 31) *100</f>
        <v>45.161290322580641</v>
      </c>
      <c r="BC12">
        <f>COUNTIF(W12:AB12, "Yes") + COUNTIF(AC12:AH12, "Yes") + COUNTIF(AI12:AO12, "Yes") + COUNTIF(AP12:AW12, "Yes") + COUNTIF(AX12:BA12, "Yes")</f>
        <v>14</v>
      </c>
      <c r="BD12" t="str">
        <f t="shared" si="3"/>
        <v>Moderate</v>
      </c>
      <c r="BE12" t="s">
        <v>89</v>
      </c>
      <c r="BF12" s="13" t="s">
        <v>77</v>
      </c>
      <c r="BG12" s="9">
        <v>2023</v>
      </c>
      <c r="BH12" s="10" t="s">
        <v>72</v>
      </c>
      <c r="BJ12" t="s">
        <v>85</v>
      </c>
    </row>
    <row r="13" spans="1:62" x14ac:dyDescent="0.35">
      <c r="A13" t="s">
        <v>184</v>
      </c>
      <c r="B13">
        <v>33.499722222222204</v>
      </c>
      <c r="C13">
        <v>126.56805555555501</v>
      </c>
      <c r="D13" s="8">
        <v>1847</v>
      </c>
      <c r="E13" s="8" t="str">
        <f t="shared" si="0"/>
        <v>Medium</v>
      </c>
      <c r="F13" t="s">
        <v>80</v>
      </c>
      <c r="G13" t="s">
        <v>152</v>
      </c>
      <c r="H13">
        <v>2010</v>
      </c>
      <c r="I13" t="s">
        <v>65</v>
      </c>
      <c r="J13" t="s">
        <v>97</v>
      </c>
      <c r="L13" t="s">
        <v>88</v>
      </c>
      <c r="M13" t="s">
        <v>69</v>
      </c>
      <c r="N13" t="s">
        <v>69</v>
      </c>
      <c r="O13" t="s">
        <v>69</v>
      </c>
      <c r="P13" t="s">
        <v>68</v>
      </c>
      <c r="Q13" t="s">
        <v>69</v>
      </c>
      <c r="R13" t="s">
        <v>69</v>
      </c>
      <c r="S13" s="8">
        <f t="shared" si="1"/>
        <v>1</v>
      </c>
      <c r="T13" s="8">
        <v>0</v>
      </c>
      <c r="U13" s="8">
        <f t="shared" si="2"/>
        <v>16.666666666666664</v>
      </c>
      <c r="W13" t="s">
        <v>68</v>
      </c>
      <c r="X13" t="s">
        <v>69</v>
      </c>
      <c r="Y13" t="s">
        <v>68</v>
      </c>
      <c r="Z13" t="s">
        <v>68</v>
      </c>
      <c r="AA13" t="s">
        <v>68</v>
      </c>
      <c r="AB13" t="s">
        <v>69</v>
      </c>
      <c r="AC13" t="s">
        <v>68</v>
      </c>
      <c r="AD13" t="s">
        <v>68</v>
      </c>
      <c r="AE13" t="s">
        <v>69</v>
      </c>
      <c r="AF13" t="s">
        <v>68</v>
      </c>
      <c r="AG13" t="s">
        <v>68</v>
      </c>
      <c r="AH13" t="s">
        <v>68</v>
      </c>
      <c r="AI13" t="s">
        <v>69</v>
      </c>
      <c r="AJ13" t="s">
        <v>68</v>
      </c>
      <c r="AK13" t="s">
        <v>68</v>
      </c>
      <c r="AL13" t="s">
        <v>68</v>
      </c>
      <c r="AM13" t="s">
        <v>68</v>
      </c>
      <c r="AN13" t="s">
        <v>68</v>
      </c>
      <c r="AO13" t="s">
        <v>69</v>
      </c>
      <c r="AP13" t="s">
        <v>68</v>
      </c>
      <c r="AQ13" t="s">
        <v>68</v>
      </c>
      <c r="AR13" t="s">
        <v>68</v>
      </c>
      <c r="AS13" t="s">
        <v>68</v>
      </c>
      <c r="AT13" t="s">
        <v>68</v>
      </c>
      <c r="AU13" t="s">
        <v>68</v>
      </c>
      <c r="AV13" t="s">
        <v>68</v>
      </c>
      <c r="AW13" t="s">
        <v>69</v>
      </c>
      <c r="AX13" t="s">
        <v>68</v>
      </c>
      <c r="AY13" t="s">
        <v>68</v>
      </c>
      <c r="AZ13" t="s">
        <v>68</v>
      </c>
      <c r="BA13" t="s">
        <v>68</v>
      </c>
      <c r="BB13">
        <f>((COUNTIF(W13:AB13, "Yes") + COUNTIF(AC13:AH13, "Yes") + COUNTIF(AI13:AO13, "Yes") + COUNTIF(AP13:AW13, "Yes") + COUNTIF(AX13:BA13, "Yes")) / 31) *100</f>
        <v>80.645161290322577</v>
      </c>
      <c r="BC13">
        <f>COUNTIF(W13:AB13, "Yes") + COUNTIF(AC13:AH13, "Yes") + COUNTIF(AI13:AO13, "Yes") + COUNTIF(AP13:AW13, "Yes") + COUNTIF(AX13:BA13, "Yes")</f>
        <v>25</v>
      </c>
      <c r="BD13" t="str">
        <f t="shared" si="3"/>
        <v>High</v>
      </c>
      <c r="BE13" t="s">
        <v>76</v>
      </c>
      <c r="BF13" s="13" t="s">
        <v>83</v>
      </c>
      <c r="BG13" s="9">
        <v>2022</v>
      </c>
      <c r="BH13" s="10" t="s">
        <v>72</v>
      </c>
      <c r="BI13" s="8">
        <v>0.2</v>
      </c>
      <c r="BJ13" t="s">
        <v>78</v>
      </c>
    </row>
    <row r="14" spans="1:62" x14ac:dyDescent="0.35">
      <c r="A14" t="s">
        <v>189</v>
      </c>
      <c r="B14">
        <v>54.788055555555502</v>
      </c>
      <c r="C14">
        <v>-2.4169444444444399</v>
      </c>
      <c r="D14" s="8">
        <v>1938</v>
      </c>
      <c r="E14" s="8" t="str">
        <f t="shared" si="0"/>
        <v>Medium</v>
      </c>
      <c r="F14" t="s">
        <v>63</v>
      </c>
      <c r="G14" t="s">
        <v>137</v>
      </c>
      <c r="H14">
        <v>2004</v>
      </c>
      <c r="I14" t="s">
        <v>65</v>
      </c>
      <c r="J14" t="s">
        <v>10</v>
      </c>
      <c r="K14" t="s">
        <v>190</v>
      </c>
      <c r="L14" t="s">
        <v>88</v>
      </c>
      <c r="M14" t="s">
        <v>69</v>
      </c>
      <c r="N14" t="s">
        <v>69</v>
      </c>
      <c r="O14" t="s">
        <v>69</v>
      </c>
      <c r="P14" t="s">
        <v>69</v>
      </c>
      <c r="Q14" t="s">
        <v>69</v>
      </c>
      <c r="R14" t="s">
        <v>69</v>
      </c>
      <c r="S14" s="8">
        <f t="shared" si="1"/>
        <v>0</v>
      </c>
      <c r="T14" s="8">
        <v>0</v>
      </c>
      <c r="U14" s="8">
        <f t="shared" si="2"/>
        <v>0</v>
      </c>
      <c r="W14" t="s">
        <v>68</v>
      </c>
      <c r="X14" t="s">
        <v>69</v>
      </c>
      <c r="Y14" t="s">
        <v>68</v>
      </c>
      <c r="Z14" t="s">
        <v>69</v>
      </c>
      <c r="AA14" t="s">
        <v>69</v>
      </c>
      <c r="AB14" t="s">
        <v>69</v>
      </c>
      <c r="AC14" t="s">
        <v>68</v>
      </c>
      <c r="AD14" t="s">
        <v>68</v>
      </c>
      <c r="AE14" t="s">
        <v>68</v>
      </c>
      <c r="AF14" t="s">
        <v>68</v>
      </c>
      <c r="AG14" t="s">
        <v>68</v>
      </c>
      <c r="AH14" t="s">
        <v>68</v>
      </c>
      <c r="AI14" t="s">
        <v>69</v>
      </c>
      <c r="AJ14" t="s">
        <v>69</v>
      </c>
      <c r="AK14" t="s">
        <v>68</v>
      </c>
      <c r="AL14" t="s">
        <v>68</v>
      </c>
      <c r="AM14" t="s">
        <v>69</v>
      </c>
      <c r="AN14" t="s">
        <v>69</v>
      </c>
      <c r="AO14" t="s">
        <v>69</v>
      </c>
      <c r="AP14" t="s">
        <v>68</v>
      </c>
      <c r="AQ14" t="s">
        <v>69</v>
      </c>
      <c r="AR14" t="s">
        <v>69</v>
      </c>
      <c r="AS14" t="s">
        <v>68</v>
      </c>
      <c r="AT14" t="s">
        <v>68</v>
      </c>
      <c r="AU14" t="s">
        <v>69</v>
      </c>
      <c r="AV14" t="s">
        <v>68</v>
      </c>
      <c r="AW14" t="s">
        <v>68</v>
      </c>
      <c r="AX14" t="s">
        <v>69</v>
      </c>
      <c r="AY14" t="s">
        <v>68</v>
      </c>
      <c r="AZ14" t="s">
        <v>68</v>
      </c>
      <c r="BA14" t="s">
        <v>68</v>
      </c>
      <c r="BB14">
        <f>((COUNTIF(W14:AB14, "Yes") + COUNTIF(AC14:AH14, "Yes") + COUNTIF(AI14:AO14, "Yes") + COUNTIF(AP14:AW14, "Yes") + COUNTIF(AX14:BA14, "Yes")) / 31) *100</f>
        <v>58.064516129032263</v>
      </c>
      <c r="BC14">
        <f>COUNTIF(W14:AB14, "Yes") + COUNTIF(AC14:AH14, "Yes") + COUNTIF(AI14:AO14, "Yes") + COUNTIF(AP14:AW14, "Yes") + COUNTIF(AX14:BA14, "Yes")</f>
        <v>18</v>
      </c>
      <c r="BD14" t="str">
        <f t="shared" si="3"/>
        <v>Moderate</v>
      </c>
      <c r="BE14" t="s">
        <v>89</v>
      </c>
      <c r="BF14" s="13" t="s">
        <v>77</v>
      </c>
      <c r="BG14" s="9">
        <v>2021</v>
      </c>
      <c r="BH14" s="10" t="s">
        <v>93</v>
      </c>
      <c r="BI14" s="8">
        <v>0.01</v>
      </c>
      <c r="BJ14" t="s">
        <v>78</v>
      </c>
    </row>
    <row r="15" spans="1:62" x14ac:dyDescent="0.35">
      <c r="A15" t="s">
        <v>198</v>
      </c>
      <c r="B15">
        <v>44.634999999999998</v>
      </c>
      <c r="C15">
        <v>4.2594444444444397</v>
      </c>
      <c r="D15" s="8">
        <v>2280</v>
      </c>
      <c r="E15" s="8" t="str">
        <f t="shared" si="0"/>
        <v>Medium</v>
      </c>
      <c r="F15" t="s">
        <v>63</v>
      </c>
      <c r="G15" t="s">
        <v>176</v>
      </c>
      <c r="H15">
        <v>2014</v>
      </c>
      <c r="I15" t="s">
        <v>87</v>
      </c>
      <c r="J15" t="s">
        <v>66</v>
      </c>
      <c r="L15" t="s">
        <v>88</v>
      </c>
      <c r="M15" t="s">
        <v>69</v>
      </c>
      <c r="N15" t="s">
        <v>69</v>
      </c>
      <c r="O15" t="s">
        <v>69</v>
      </c>
      <c r="P15" t="s">
        <v>68</v>
      </c>
      <c r="Q15" t="s">
        <v>68</v>
      </c>
      <c r="R15" t="s">
        <v>68</v>
      </c>
      <c r="S15" s="8">
        <f t="shared" si="1"/>
        <v>3</v>
      </c>
      <c r="T15" s="8">
        <v>0</v>
      </c>
      <c r="U15" s="8">
        <f t="shared" si="2"/>
        <v>50</v>
      </c>
      <c r="W15" t="s">
        <v>69</v>
      </c>
      <c r="X15" t="s">
        <v>69</v>
      </c>
      <c r="Y15" t="s">
        <v>68</v>
      </c>
      <c r="Z15" t="s">
        <v>69</v>
      </c>
      <c r="AA15" t="s">
        <v>68</v>
      </c>
      <c r="AB15" t="s">
        <v>68</v>
      </c>
      <c r="AC15" t="s">
        <v>69</v>
      </c>
      <c r="AD15" t="s">
        <v>69</v>
      </c>
      <c r="AE15" t="s">
        <v>69</v>
      </c>
      <c r="AF15" t="s">
        <v>68</v>
      </c>
      <c r="AG15" t="s">
        <v>68</v>
      </c>
      <c r="AH15" t="s">
        <v>68</v>
      </c>
      <c r="AI15" t="s">
        <v>68</v>
      </c>
      <c r="AJ15" t="s">
        <v>69</v>
      </c>
      <c r="AK15" t="s">
        <v>69</v>
      </c>
      <c r="AL15" t="s">
        <v>69</v>
      </c>
      <c r="AM15" t="s">
        <v>69</v>
      </c>
      <c r="AN15" t="s">
        <v>69</v>
      </c>
      <c r="AO15" t="s">
        <v>69</v>
      </c>
      <c r="AP15" t="s">
        <v>68</v>
      </c>
      <c r="AQ15" t="s">
        <v>69</v>
      </c>
      <c r="AR15" t="s">
        <v>68</v>
      </c>
      <c r="AS15" t="s">
        <v>68</v>
      </c>
      <c r="AT15" t="s">
        <v>68</v>
      </c>
      <c r="AU15" t="s">
        <v>69</v>
      </c>
      <c r="AV15" t="s">
        <v>69</v>
      </c>
      <c r="AW15" t="s">
        <v>68</v>
      </c>
      <c r="AX15" t="s">
        <v>68</v>
      </c>
      <c r="AY15" t="s">
        <v>68</v>
      </c>
      <c r="AZ15" t="s">
        <v>68</v>
      </c>
      <c r="BA15" t="s">
        <v>68</v>
      </c>
      <c r="BB15">
        <f>((COUNTIF(W15:AB15, "Yes") + COUNTIF(AC15:AH15, "Yes") + COUNTIF(AI15:AO15, "Yes") + COUNTIF(AP15:AW15, "Yes") + COUNTIF(AX15:BA15, "Yes")) / 31) *100</f>
        <v>51.612903225806448</v>
      </c>
      <c r="BC15">
        <f>COUNTIF(W15:AB15, "Yes") + COUNTIF(AC15:AH15, "Yes") + COUNTIF(AI15:AO15, "Yes") + COUNTIF(AP15:AW15, "Yes") + COUNTIF(AX15:BA15, "Yes")</f>
        <v>16</v>
      </c>
      <c r="BD15" t="str">
        <f t="shared" si="3"/>
        <v>Moderate</v>
      </c>
      <c r="BE15" t="s">
        <v>76</v>
      </c>
      <c r="BF15" s="13" t="s">
        <v>83</v>
      </c>
      <c r="BG15" s="9">
        <v>2018</v>
      </c>
      <c r="BH15" s="10" t="s">
        <v>84</v>
      </c>
      <c r="BI15" s="8">
        <v>0.25</v>
      </c>
      <c r="BJ15" t="s">
        <v>78</v>
      </c>
    </row>
    <row r="16" spans="1:62" x14ac:dyDescent="0.35">
      <c r="A16" t="s">
        <v>129</v>
      </c>
      <c r="B16">
        <v>48.612777777777701</v>
      </c>
      <c r="C16">
        <v>125.96166666666601</v>
      </c>
      <c r="D16" s="8">
        <v>720</v>
      </c>
      <c r="E16" s="8" t="str">
        <f t="shared" si="0"/>
        <v>Small</v>
      </c>
      <c r="F16" t="s">
        <v>80</v>
      </c>
      <c r="G16" t="s">
        <v>81</v>
      </c>
      <c r="H16">
        <v>2004</v>
      </c>
      <c r="I16" t="s">
        <v>65</v>
      </c>
      <c r="J16" t="s">
        <v>10</v>
      </c>
      <c r="K16" t="s">
        <v>110</v>
      </c>
      <c r="L16" t="s">
        <v>67</v>
      </c>
      <c r="M16" t="s">
        <v>69</v>
      </c>
      <c r="N16" t="s">
        <v>69</v>
      </c>
      <c r="O16" t="s">
        <v>69</v>
      </c>
      <c r="P16" t="s">
        <v>68</v>
      </c>
      <c r="Q16" t="s">
        <v>68</v>
      </c>
      <c r="R16" t="s">
        <v>68</v>
      </c>
      <c r="S16" s="8">
        <f t="shared" si="1"/>
        <v>3</v>
      </c>
      <c r="T16" s="8">
        <v>0</v>
      </c>
      <c r="U16" s="8">
        <f t="shared" si="2"/>
        <v>50</v>
      </c>
      <c r="W16" t="s">
        <v>69</v>
      </c>
      <c r="X16" t="s">
        <v>69</v>
      </c>
      <c r="Y16" t="s">
        <v>69</v>
      </c>
      <c r="Z16" t="s">
        <v>69</v>
      </c>
      <c r="AA16" t="s">
        <v>69</v>
      </c>
      <c r="AB16" t="s">
        <v>69</v>
      </c>
      <c r="AC16" t="s">
        <v>69</v>
      </c>
      <c r="AD16" t="s">
        <v>69</v>
      </c>
      <c r="AE16" t="s">
        <v>69</v>
      </c>
      <c r="AF16" t="s">
        <v>69</v>
      </c>
      <c r="AG16" t="s">
        <v>69</v>
      </c>
      <c r="AH16" t="s">
        <v>69</v>
      </c>
      <c r="AI16" t="s">
        <v>69</v>
      </c>
      <c r="AJ16" t="s">
        <v>69</v>
      </c>
      <c r="AK16" t="s">
        <v>69</v>
      </c>
      <c r="AL16" t="s">
        <v>69</v>
      </c>
      <c r="AM16" t="s">
        <v>69</v>
      </c>
      <c r="AN16" t="s">
        <v>69</v>
      </c>
      <c r="AO16" t="s">
        <v>69</v>
      </c>
      <c r="AP16" t="s">
        <v>69</v>
      </c>
      <c r="AQ16" t="s">
        <v>69</v>
      </c>
      <c r="AR16" t="s">
        <v>69</v>
      </c>
      <c r="AS16" t="s">
        <v>69</v>
      </c>
      <c r="AT16" t="s">
        <v>69</v>
      </c>
      <c r="AU16" t="s">
        <v>69</v>
      </c>
      <c r="AV16" t="s">
        <v>69</v>
      </c>
      <c r="AW16" t="s">
        <v>69</v>
      </c>
      <c r="AX16" t="s">
        <v>69</v>
      </c>
      <c r="AY16" t="s">
        <v>69</v>
      </c>
      <c r="AZ16" t="s">
        <v>69</v>
      </c>
      <c r="BA16" t="s">
        <v>69</v>
      </c>
      <c r="BB16">
        <f>((COUNTIF(W16:AB16, "Yes") + COUNTIF(AC16:AH16, "Yes") + COUNTIF(AI16:AO16, "Yes") + COUNTIF(AP16:AW16, "Yes") + COUNTIF(AX16:BA16, "Yes")) / 31) *100</f>
        <v>0</v>
      </c>
      <c r="BC16">
        <f>COUNTIF(W16:AB16, "Yes") + COUNTIF(AC16:AH16, "Yes") + COUNTIF(AI16:AO16, "Yes") + COUNTIF(AP16:AW16, "Yes") + COUNTIF(AX16:BA16, "Yes")</f>
        <v>0</v>
      </c>
      <c r="BD16" t="str">
        <f t="shared" si="3"/>
        <v>Low</v>
      </c>
      <c r="BE16" t="s">
        <v>89</v>
      </c>
      <c r="BF16" s="13" t="s">
        <v>98</v>
      </c>
      <c r="BG16" s="9">
        <v>2019</v>
      </c>
      <c r="BH16" s="10" t="s">
        <v>84</v>
      </c>
      <c r="BI16" s="8">
        <v>0.35</v>
      </c>
      <c r="BJ16" t="s">
        <v>78</v>
      </c>
    </row>
    <row r="17" spans="1:62" x14ac:dyDescent="0.35">
      <c r="A17" t="s">
        <v>203</v>
      </c>
      <c r="B17">
        <v>35.642499999999998</v>
      </c>
      <c r="C17">
        <v>134.680555555555</v>
      </c>
      <c r="D17" s="8">
        <v>2458</v>
      </c>
      <c r="E17" s="8" t="str">
        <f t="shared" si="0"/>
        <v>Medium</v>
      </c>
      <c r="F17" t="s">
        <v>80</v>
      </c>
      <c r="G17" t="s">
        <v>133</v>
      </c>
      <c r="H17">
        <v>2010</v>
      </c>
      <c r="I17" t="s">
        <v>65</v>
      </c>
      <c r="J17" t="s">
        <v>75</v>
      </c>
      <c r="L17" t="s">
        <v>67</v>
      </c>
      <c r="M17" t="s">
        <v>69</v>
      </c>
      <c r="N17" t="s">
        <v>69</v>
      </c>
      <c r="O17" t="s">
        <v>69</v>
      </c>
      <c r="P17" t="s">
        <v>68</v>
      </c>
      <c r="Q17" t="s">
        <v>69</v>
      </c>
      <c r="R17" t="s">
        <v>69</v>
      </c>
      <c r="S17" s="8">
        <f t="shared" si="1"/>
        <v>1</v>
      </c>
      <c r="T17" s="8">
        <v>0</v>
      </c>
      <c r="U17" s="8">
        <f t="shared" si="2"/>
        <v>16.666666666666664</v>
      </c>
      <c r="W17" t="s">
        <v>68</v>
      </c>
      <c r="X17" t="s">
        <v>69</v>
      </c>
      <c r="Y17" t="s">
        <v>69</v>
      </c>
      <c r="Z17" t="s">
        <v>69</v>
      </c>
      <c r="AA17" t="s">
        <v>69</v>
      </c>
      <c r="AB17" t="s">
        <v>69</v>
      </c>
      <c r="AC17" t="s">
        <v>68</v>
      </c>
      <c r="AD17" t="s">
        <v>69</v>
      </c>
      <c r="AE17" t="s">
        <v>69</v>
      </c>
      <c r="AF17" t="s">
        <v>69</v>
      </c>
      <c r="AG17" t="s">
        <v>69</v>
      </c>
      <c r="AH17" t="s">
        <v>69</v>
      </c>
      <c r="AI17" t="s">
        <v>69</v>
      </c>
      <c r="AJ17" t="s">
        <v>69</v>
      </c>
      <c r="AK17" t="s">
        <v>68</v>
      </c>
      <c r="AL17" t="s">
        <v>69</v>
      </c>
      <c r="AM17" t="s">
        <v>69</v>
      </c>
      <c r="AN17" t="s">
        <v>69</v>
      </c>
      <c r="AO17" t="s">
        <v>69</v>
      </c>
      <c r="AP17" t="s">
        <v>68</v>
      </c>
      <c r="AQ17" t="s">
        <v>69</v>
      </c>
      <c r="AR17" t="s">
        <v>69</v>
      </c>
      <c r="AS17" t="s">
        <v>69</v>
      </c>
      <c r="AT17" t="s">
        <v>69</v>
      </c>
      <c r="AU17" t="s">
        <v>69</v>
      </c>
      <c r="AV17" t="s">
        <v>69</v>
      </c>
      <c r="AW17" t="s">
        <v>69</v>
      </c>
      <c r="AX17" t="s">
        <v>68</v>
      </c>
      <c r="AY17" t="s">
        <v>69</v>
      </c>
      <c r="AZ17" t="s">
        <v>69</v>
      </c>
      <c r="BA17" t="s">
        <v>69</v>
      </c>
      <c r="BB17">
        <f>((COUNTIF(W17:AB17, "Yes") + COUNTIF(AC17:AH17, "Yes") + COUNTIF(AI17:AO17, "Yes") + COUNTIF(AP17:AW17, "Yes") + COUNTIF(AX17:BA17, "Yes")) / 31) *100</f>
        <v>16.129032258064516</v>
      </c>
      <c r="BC17">
        <f>COUNTIF(W17:AB17, "Yes") + COUNTIF(AC17:AH17, "Yes") + COUNTIF(AI17:AO17, "Yes") + COUNTIF(AP17:AW17, "Yes") + COUNTIF(AX17:BA17, "Yes")</f>
        <v>5</v>
      </c>
      <c r="BD17" t="str">
        <f t="shared" si="3"/>
        <v>Low</v>
      </c>
      <c r="BE17" t="s">
        <v>76</v>
      </c>
      <c r="BF17" s="13" t="s">
        <v>77</v>
      </c>
      <c r="BG17" s="9">
        <v>2021</v>
      </c>
      <c r="BH17" s="10" t="s">
        <v>93</v>
      </c>
      <c r="BJ17" t="s">
        <v>85</v>
      </c>
    </row>
    <row r="18" spans="1:62" x14ac:dyDescent="0.35">
      <c r="A18" t="s">
        <v>73</v>
      </c>
      <c r="B18">
        <v>43.295833333333299</v>
      </c>
      <c r="C18">
        <v>-2.3544444444444399</v>
      </c>
      <c r="D18" s="8">
        <v>89</v>
      </c>
      <c r="E18" s="8" t="str">
        <f t="shared" si="0"/>
        <v>Small</v>
      </c>
      <c r="F18" t="s">
        <v>63</v>
      </c>
      <c r="G18" t="s">
        <v>74</v>
      </c>
      <c r="H18">
        <v>2010</v>
      </c>
      <c r="I18" t="s">
        <v>65</v>
      </c>
      <c r="J18" t="s">
        <v>75</v>
      </c>
      <c r="L18" t="s">
        <v>67</v>
      </c>
      <c r="M18" t="s">
        <v>68</v>
      </c>
      <c r="N18" t="s">
        <v>69</v>
      </c>
      <c r="O18" s="12" t="s">
        <v>68</v>
      </c>
      <c r="P18" t="s">
        <v>68</v>
      </c>
      <c r="Q18" t="s">
        <v>68</v>
      </c>
      <c r="R18" t="s">
        <v>69</v>
      </c>
      <c r="S18" s="8">
        <f t="shared" si="1"/>
        <v>4</v>
      </c>
      <c r="T18" s="8">
        <v>0</v>
      </c>
      <c r="U18" s="8">
        <f t="shared" si="2"/>
        <v>66.666666666666657</v>
      </c>
      <c r="W18" t="s">
        <v>68</v>
      </c>
      <c r="X18" t="s">
        <v>69</v>
      </c>
      <c r="Y18" t="s">
        <v>68</v>
      </c>
      <c r="Z18" t="s">
        <v>69</v>
      </c>
      <c r="AA18" t="s">
        <v>69</v>
      </c>
      <c r="AB18" t="s">
        <v>69</v>
      </c>
      <c r="AC18" t="s">
        <v>69</v>
      </c>
      <c r="AD18" t="s">
        <v>69</v>
      </c>
      <c r="AE18" t="s">
        <v>68</v>
      </c>
      <c r="AF18" t="s">
        <v>68</v>
      </c>
      <c r="AG18" t="s">
        <v>68</v>
      </c>
      <c r="AH18" t="s">
        <v>68</v>
      </c>
      <c r="AI18" t="s">
        <v>68</v>
      </c>
      <c r="AJ18" t="s">
        <v>69</v>
      </c>
      <c r="AK18" t="s">
        <v>69</v>
      </c>
      <c r="AL18" t="s">
        <v>68</v>
      </c>
      <c r="AM18" t="s">
        <v>68</v>
      </c>
      <c r="AN18" t="s">
        <v>69</v>
      </c>
      <c r="AO18" t="s">
        <v>69</v>
      </c>
      <c r="AP18" t="s">
        <v>69</v>
      </c>
      <c r="AQ18" t="s">
        <v>68</v>
      </c>
      <c r="AR18" t="s">
        <v>69</v>
      </c>
      <c r="AS18" t="s">
        <v>69</v>
      </c>
      <c r="AT18" t="s">
        <v>68</v>
      </c>
      <c r="AU18" t="s">
        <v>68</v>
      </c>
      <c r="AV18" t="s">
        <v>68</v>
      </c>
      <c r="AW18" t="s">
        <v>69</v>
      </c>
      <c r="AX18" t="s">
        <v>69</v>
      </c>
      <c r="AY18" t="s">
        <v>69</v>
      </c>
      <c r="AZ18" t="s">
        <v>69</v>
      </c>
      <c r="BA18" t="s">
        <v>68</v>
      </c>
      <c r="BB18">
        <f>((COUNTIF(W18:AB18, "Yes") + COUNTIF(AC18:AH18, "Yes") + COUNTIF(AI18:AO18, "Yes") + COUNTIF(AP18:AW18, "Yes") + COUNTIF(AX18:BA18, "Yes")) / 31) *100</f>
        <v>45.161290322580641</v>
      </c>
      <c r="BC18">
        <f>COUNTIF(W18:AB18, "Yes") + COUNTIF(AC18:AH18, "Yes") + COUNTIF(AI18:AO18, "Yes") + COUNTIF(AP18:AW18, "Yes") + COUNTIF(AX18:BA18, "Yes")</f>
        <v>14</v>
      </c>
      <c r="BD18" t="str">
        <f t="shared" si="3"/>
        <v>Moderate</v>
      </c>
      <c r="BE18" t="s">
        <v>76</v>
      </c>
      <c r="BF18" s="13" t="s">
        <v>77</v>
      </c>
      <c r="BG18" s="9">
        <v>2021</v>
      </c>
      <c r="BH18" s="10" t="s">
        <v>93</v>
      </c>
      <c r="BI18" s="8">
        <v>0.1</v>
      </c>
      <c r="BJ18" t="s">
        <v>78</v>
      </c>
    </row>
    <row r="19" spans="1:62" x14ac:dyDescent="0.35">
      <c r="A19" t="s">
        <v>161</v>
      </c>
      <c r="B19">
        <v>32.902499999999897</v>
      </c>
      <c r="C19">
        <v>131.081388888888</v>
      </c>
      <c r="D19" s="8">
        <v>1198</v>
      </c>
      <c r="E19" s="8" t="str">
        <f t="shared" si="0"/>
        <v>Medium</v>
      </c>
      <c r="F19" t="s">
        <v>80</v>
      </c>
      <c r="G19" t="s">
        <v>133</v>
      </c>
      <c r="H19">
        <v>2014</v>
      </c>
      <c r="I19" t="s">
        <v>87</v>
      </c>
      <c r="J19" t="s">
        <v>66</v>
      </c>
      <c r="L19" t="s">
        <v>67</v>
      </c>
      <c r="M19" t="s">
        <v>69</v>
      </c>
      <c r="N19" t="s">
        <v>69</v>
      </c>
      <c r="O19" t="s">
        <v>69</v>
      </c>
      <c r="P19" t="s">
        <v>69</v>
      </c>
      <c r="Q19" t="s">
        <v>68</v>
      </c>
      <c r="R19" t="s">
        <v>68</v>
      </c>
      <c r="S19" s="8">
        <f t="shared" si="1"/>
        <v>2</v>
      </c>
      <c r="T19" s="8">
        <v>0</v>
      </c>
      <c r="U19" s="8">
        <f t="shared" si="2"/>
        <v>33.333333333333329</v>
      </c>
      <c r="W19" t="s">
        <v>68</v>
      </c>
      <c r="X19" t="s">
        <v>69</v>
      </c>
      <c r="Y19" t="s">
        <v>69</v>
      </c>
      <c r="Z19" t="s">
        <v>69</v>
      </c>
      <c r="AA19" t="s">
        <v>69</v>
      </c>
      <c r="AB19" t="s">
        <v>69</v>
      </c>
      <c r="AC19" t="s">
        <v>68</v>
      </c>
      <c r="AD19" t="s">
        <v>69</v>
      </c>
      <c r="AE19" t="s">
        <v>69</v>
      </c>
      <c r="AF19" t="s">
        <v>69</v>
      </c>
      <c r="AG19" t="s">
        <v>69</v>
      </c>
      <c r="AH19" t="s">
        <v>68</v>
      </c>
      <c r="AI19" t="s">
        <v>69</v>
      </c>
      <c r="AJ19" t="s">
        <v>69</v>
      </c>
      <c r="AK19" t="s">
        <v>68</v>
      </c>
      <c r="AL19" t="s">
        <v>69</v>
      </c>
      <c r="AM19" t="s">
        <v>69</v>
      </c>
      <c r="AN19" t="s">
        <v>68</v>
      </c>
      <c r="AO19" t="s">
        <v>69</v>
      </c>
      <c r="AP19" t="s">
        <v>69</v>
      </c>
      <c r="AQ19" t="s">
        <v>69</v>
      </c>
      <c r="AR19" t="s">
        <v>68</v>
      </c>
      <c r="AS19" t="s">
        <v>69</v>
      </c>
      <c r="AT19" t="s">
        <v>69</v>
      </c>
      <c r="AU19" t="s">
        <v>68</v>
      </c>
      <c r="AV19" t="s">
        <v>69</v>
      </c>
      <c r="AW19" t="s">
        <v>69</v>
      </c>
      <c r="AX19" t="s">
        <v>69</v>
      </c>
      <c r="AY19" t="s">
        <v>69</v>
      </c>
      <c r="AZ19" t="s">
        <v>69</v>
      </c>
      <c r="BA19" t="s">
        <v>69</v>
      </c>
      <c r="BB19">
        <f>((COUNTIF(W19:AB19, "Yes") + COUNTIF(AC19:AH19, "Yes") + COUNTIF(AI19:AO19, "Yes") + COUNTIF(AP19:AW19, "Yes") + COUNTIF(AX19:BA19, "Yes")) / 31) *100</f>
        <v>22.58064516129032</v>
      </c>
      <c r="BC19">
        <f>COUNTIF(W19:AB19, "Yes") + COUNTIF(AC19:AH19, "Yes") + COUNTIF(AI19:AO19, "Yes") + COUNTIF(AP19:AW19, "Yes") + COUNTIF(AX19:BA19, "Yes")</f>
        <v>7</v>
      </c>
      <c r="BD19" t="str">
        <f t="shared" si="3"/>
        <v>Low</v>
      </c>
      <c r="BE19" t="s">
        <v>76</v>
      </c>
      <c r="BF19" s="13" t="s">
        <v>83</v>
      </c>
      <c r="BH19" s="10" t="s">
        <v>84</v>
      </c>
      <c r="BJ19" t="s">
        <v>85</v>
      </c>
    </row>
    <row r="20" spans="1:62" x14ac:dyDescent="0.35">
      <c r="A20" t="s">
        <v>167</v>
      </c>
      <c r="B20">
        <v>38.9736027777777</v>
      </c>
      <c r="C20">
        <v>100.060875</v>
      </c>
      <c r="D20" s="8">
        <v>1289.71</v>
      </c>
      <c r="E20" s="8" t="str">
        <f t="shared" si="0"/>
        <v>Medium</v>
      </c>
      <c r="F20" t="s">
        <v>80</v>
      </c>
      <c r="G20" t="s">
        <v>81</v>
      </c>
      <c r="H20">
        <v>2020</v>
      </c>
      <c r="I20" t="s">
        <v>82</v>
      </c>
      <c r="J20" t="s">
        <v>10</v>
      </c>
      <c r="L20" t="s">
        <v>67</v>
      </c>
      <c r="M20" t="s">
        <v>68</v>
      </c>
      <c r="N20" t="s">
        <v>68</v>
      </c>
      <c r="O20" t="s">
        <v>69</v>
      </c>
      <c r="P20" t="s">
        <v>68</v>
      </c>
      <c r="Q20" t="s">
        <v>69</v>
      </c>
      <c r="R20" t="s">
        <v>69</v>
      </c>
      <c r="S20" s="8">
        <f t="shared" si="1"/>
        <v>3</v>
      </c>
      <c r="T20" s="8">
        <v>0</v>
      </c>
      <c r="U20" s="8">
        <f t="shared" si="2"/>
        <v>50</v>
      </c>
      <c r="W20" t="s">
        <v>68</v>
      </c>
      <c r="X20" t="s">
        <v>69</v>
      </c>
      <c r="Y20" t="s">
        <v>69</v>
      </c>
      <c r="Z20" t="s">
        <v>69</v>
      </c>
      <c r="AA20" t="s">
        <v>69</v>
      </c>
      <c r="AB20" t="s">
        <v>69</v>
      </c>
      <c r="AC20" t="s">
        <v>68</v>
      </c>
      <c r="AD20" t="s">
        <v>69</v>
      </c>
      <c r="AE20" t="s">
        <v>69</v>
      </c>
      <c r="AF20" t="s">
        <v>69</v>
      </c>
      <c r="AG20" t="s">
        <v>69</v>
      </c>
      <c r="AH20" t="s">
        <v>69</v>
      </c>
      <c r="AI20" t="s">
        <v>69</v>
      </c>
      <c r="AJ20" t="s">
        <v>69</v>
      </c>
      <c r="AK20" t="s">
        <v>69</v>
      </c>
      <c r="AL20" t="s">
        <v>68</v>
      </c>
      <c r="AM20" t="s">
        <v>69</v>
      </c>
      <c r="AN20" t="s">
        <v>69</v>
      </c>
      <c r="AO20" t="s">
        <v>69</v>
      </c>
      <c r="AP20" t="s">
        <v>68</v>
      </c>
      <c r="AQ20" t="s">
        <v>69</v>
      </c>
      <c r="AR20" t="s">
        <v>69</v>
      </c>
      <c r="AS20" t="s">
        <v>69</v>
      </c>
      <c r="AT20" t="s">
        <v>68</v>
      </c>
      <c r="AU20" t="s">
        <v>69</v>
      </c>
      <c r="AV20" t="s">
        <v>69</v>
      </c>
      <c r="AW20" t="s">
        <v>69</v>
      </c>
      <c r="AX20" t="s">
        <v>69</v>
      </c>
      <c r="AY20" t="s">
        <v>69</v>
      </c>
      <c r="AZ20" t="s">
        <v>69</v>
      </c>
      <c r="BA20" t="s">
        <v>68</v>
      </c>
      <c r="BB20">
        <f>((COUNTIF(W20:AB20, "Yes") + COUNTIF(AC20:AH20, "Yes") + COUNTIF(AI20:AO20, "Yes") + COUNTIF(AP20:AW20, "Yes") + COUNTIF(AX20:BA20, "Yes")) / 31) *100</f>
        <v>19.35483870967742</v>
      </c>
      <c r="BC20">
        <f>COUNTIF(W20:AB20, "Yes") + COUNTIF(AC20:AH20, "Yes") + COUNTIF(AI20:AO20, "Yes") + COUNTIF(AP20:AW20, "Yes") + COUNTIF(AX20:BA20, "Yes")</f>
        <v>6</v>
      </c>
      <c r="BD20" t="str">
        <f t="shared" si="3"/>
        <v>Low</v>
      </c>
      <c r="BE20" t="s">
        <v>76</v>
      </c>
      <c r="BF20" s="13" t="s">
        <v>83</v>
      </c>
      <c r="BG20" s="9">
        <v>2022</v>
      </c>
      <c r="BH20" s="10" t="s">
        <v>72</v>
      </c>
      <c r="BI20" s="8">
        <v>0.2</v>
      </c>
      <c r="BJ20" t="s">
        <v>78</v>
      </c>
    </row>
    <row r="21" spans="1:62" x14ac:dyDescent="0.35">
      <c r="A21" t="s">
        <v>204</v>
      </c>
      <c r="B21">
        <v>29.05</v>
      </c>
      <c r="C21">
        <v>-13.5833333333333</v>
      </c>
      <c r="D21" s="8">
        <v>2500</v>
      </c>
      <c r="E21" s="8" t="str">
        <f t="shared" si="0"/>
        <v>Medium</v>
      </c>
      <c r="F21" t="s">
        <v>63</v>
      </c>
      <c r="G21" t="s">
        <v>74</v>
      </c>
      <c r="H21">
        <v>2015</v>
      </c>
      <c r="I21" t="s">
        <v>82</v>
      </c>
      <c r="J21" t="s">
        <v>75</v>
      </c>
      <c r="L21" t="s">
        <v>67</v>
      </c>
      <c r="M21" t="s">
        <v>69</v>
      </c>
      <c r="N21" t="s">
        <v>69</v>
      </c>
      <c r="O21" t="s">
        <v>69</v>
      </c>
      <c r="P21" t="s">
        <v>68</v>
      </c>
      <c r="Q21" t="s">
        <v>68</v>
      </c>
      <c r="R21" t="s">
        <v>69</v>
      </c>
      <c r="S21" s="8">
        <f t="shared" si="1"/>
        <v>2</v>
      </c>
      <c r="T21" s="8">
        <v>0</v>
      </c>
      <c r="U21" s="8">
        <f t="shared" si="2"/>
        <v>33.333333333333329</v>
      </c>
      <c r="W21" t="s">
        <v>68</v>
      </c>
      <c r="X21" t="s">
        <v>69</v>
      </c>
      <c r="Y21" t="s">
        <v>68</v>
      </c>
      <c r="Z21" t="s">
        <v>68</v>
      </c>
      <c r="AA21" t="s">
        <v>69</v>
      </c>
      <c r="AB21" t="s">
        <v>69</v>
      </c>
      <c r="AC21" t="s">
        <v>68</v>
      </c>
      <c r="AD21" t="s">
        <v>69</v>
      </c>
      <c r="AE21" t="s">
        <v>69</v>
      </c>
      <c r="AF21" t="s">
        <v>68</v>
      </c>
      <c r="AG21" t="s">
        <v>68</v>
      </c>
      <c r="AH21" t="s">
        <v>68</v>
      </c>
      <c r="AI21" t="s">
        <v>69</v>
      </c>
      <c r="AJ21" t="s">
        <v>68</v>
      </c>
      <c r="AK21" t="s">
        <v>68</v>
      </c>
      <c r="AL21" t="s">
        <v>69</v>
      </c>
      <c r="AM21" t="s">
        <v>69</v>
      </c>
      <c r="AN21" t="s">
        <v>68</v>
      </c>
      <c r="AO21" t="s">
        <v>69</v>
      </c>
      <c r="AP21" t="s">
        <v>68</v>
      </c>
      <c r="AQ21" t="s">
        <v>68</v>
      </c>
      <c r="AR21" t="s">
        <v>69</v>
      </c>
      <c r="AS21" t="s">
        <v>68</v>
      </c>
      <c r="AT21" t="s">
        <v>68</v>
      </c>
      <c r="AU21" t="s">
        <v>69</v>
      </c>
      <c r="AV21" t="s">
        <v>68</v>
      </c>
      <c r="AW21" t="s">
        <v>69</v>
      </c>
      <c r="AX21" t="s">
        <v>69</v>
      </c>
      <c r="AY21" t="s">
        <v>69</v>
      </c>
      <c r="AZ21" t="s">
        <v>69</v>
      </c>
      <c r="BA21" t="s">
        <v>68</v>
      </c>
      <c r="BB21">
        <f>((COUNTIF(W21:AB21, "Yes") + COUNTIF(AC21:AH21, "Yes") + COUNTIF(AI21:AO21, "Yes") + COUNTIF(AP21:AW21, "Yes") + COUNTIF(AX21:BA21, "Yes")) / 31) *100</f>
        <v>51.612903225806448</v>
      </c>
      <c r="BC21">
        <f>COUNTIF(W21:AB21, "Yes") + COUNTIF(AC21:AH21, "Yes") + COUNTIF(AI21:AO21, "Yes") + COUNTIF(AP21:AW21, "Yes") + COUNTIF(AX21:BA21, "Yes")</f>
        <v>16</v>
      </c>
      <c r="BD21" t="str">
        <f t="shared" si="3"/>
        <v>Moderate</v>
      </c>
      <c r="BE21" t="s">
        <v>76</v>
      </c>
      <c r="BF21" s="13" t="s">
        <v>77</v>
      </c>
      <c r="BG21" s="9">
        <v>2022</v>
      </c>
      <c r="BH21" s="10" t="s">
        <v>72</v>
      </c>
      <c r="BI21" s="8">
        <v>0.25</v>
      </c>
      <c r="BJ21" t="s">
        <v>78</v>
      </c>
    </row>
    <row r="22" spans="1:62" x14ac:dyDescent="0.35">
      <c r="A22" t="s">
        <v>246</v>
      </c>
      <c r="B22">
        <v>-5.1457530555555504</v>
      </c>
      <c r="C22">
        <v>119.416054444444</v>
      </c>
      <c r="D22" s="8">
        <v>5077.25</v>
      </c>
      <c r="E22" s="8" t="str">
        <f t="shared" si="0"/>
        <v>Large</v>
      </c>
      <c r="F22" t="s">
        <v>80</v>
      </c>
      <c r="G22" t="s">
        <v>165</v>
      </c>
      <c r="H22">
        <v>2023</v>
      </c>
      <c r="I22" t="s">
        <v>82</v>
      </c>
      <c r="J22" t="s">
        <v>10</v>
      </c>
      <c r="K22" t="s">
        <v>247</v>
      </c>
      <c r="L22" t="s">
        <v>67</v>
      </c>
      <c r="M22" t="s">
        <v>68</v>
      </c>
      <c r="N22" t="s">
        <v>69</v>
      </c>
      <c r="O22" t="s">
        <v>68</v>
      </c>
      <c r="P22" t="s">
        <v>68</v>
      </c>
      <c r="Q22" t="s">
        <v>68</v>
      </c>
      <c r="R22" s="12" t="s">
        <v>68</v>
      </c>
      <c r="S22" s="8">
        <f t="shared" si="1"/>
        <v>5</v>
      </c>
      <c r="T22" s="8">
        <v>0</v>
      </c>
      <c r="U22" s="8">
        <f t="shared" si="2"/>
        <v>83.333333333333343</v>
      </c>
      <c r="W22" t="s">
        <v>68</v>
      </c>
      <c r="X22" t="s">
        <v>69</v>
      </c>
      <c r="Y22" t="s">
        <v>68</v>
      </c>
      <c r="Z22" t="s">
        <v>68</v>
      </c>
      <c r="AA22" t="s">
        <v>69</v>
      </c>
      <c r="AB22" t="s">
        <v>69</v>
      </c>
      <c r="AC22" t="s">
        <v>68</v>
      </c>
      <c r="AD22" t="s">
        <v>69</v>
      </c>
      <c r="AE22" t="s">
        <v>69</v>
      </c>
      <c r="AF22" t="s">
        <v>69</v>
      </c>
      <c r="AG22" t="s">
        <v>68</v>
      </c>
      <c r="AH22" t="s">
        <v>68</v>
      </c>
      <c r="AI22" t="s">
        <v>68</v>
      </c>
      <c r="AJ22" t="s">
        <v>68</v>
      </c>
      <c r="AK22" t="s">
        <v>68</v>
      </c>
      <c r="AL22" t="s">
        <v>68</v>
      </c>
      <c r="AM22" t="s">
        <v>69</v>
      </c>
      <c r="AN22" t="s">
        <v>68</v>
      </c>
      <c r="AO22" t="s">
        <v>68</v>
      </c>
      <c r="AP22" t="s">
        <v>68</v>
      </c>
      <c r="AQ22" t="s">
        <v>69</v>
      </c>
      <c r="AR22" t="s">
        <v>68</v>
      </c>
      <c r="AS22" t="s">
        <v>69</v>
      </c>
      <c r="AT22" t="s">
        <v>68</v>
      </c>
      <c r="AU22" t="s">
        <v>69</v>
      </c>
      <c r="AV22" t="s">
        <v>69</v>
      </c>
      <c r="AW22" t="s">
        <v>69</v>
      </c>
      <c r="AX22" t="s">
        <v>68</v>
      </c>
      <c r="AY22" t="s">
        <v>69</v>
      </c>
      <c r="AZ22" t="s">
        <v>69</v>
      </c>
      <c r="BA22" t="s">
        <v>69</v>
      </c>
      <c r="BB22">
        <f>((COUNTIF(W22:AB22, "Yes") + COUNTIF(AC22:AH22, "Yes") + COUNTIF(AI22:AO22, "Yes") + COUNTIF(AP22:AW22, "Yes") + COUNTIF(AX22:BA22, "Yes")) / 31) *100</f>
        <v>51.612903225806448</v>
      </c>
      <c r="BC22">
        <f>COUNTIF(W22:AB22, "Yes") + COUNTIF(AC22:AH22, "Yes") + COUNTIF(AI22:AO22, "Yes") + COUNTIF(AP22:AW22, "Yes") + COUNTIF(AX22:BA22, "Yes")</f>
        <v>16</v>
      </c>
      <c r="BD22" t="str">
        <f t="shared" si="3"/>
        <v>Moderate</v>
      </c>
      <c r="BE22" t="s">
        <v>89</v>
      </c>
      <c r="BF22" s="13" t="s">
        <v>83</v>
      </c>
      <c r="BG22" s="16">
        <v>2023</v>
      </c>
      <c r="BH22" s="10" t="s">
        <v>72</v>
      </c>
      <c r="BI22" s="8">
        <v>0.15</v>
      </c>
      <c r="BJ22" t="s">
        <v>78</v>
      </c>
    </row>
    <row r="23" spans="1:62" x14ac:dyDescent="0.35">
      <c r="A23" t="s">
        <v>233</v>
      </c>
      <c r="B23">
        <v>58.433333333333302</v>
      </c>
      <c r="C23">
        <v>13.6963888888888</v>
      </c>
      <c r="D23" s="8">
        <v>3690</v>
      </c>
      <c r="E23" s="8" t="str">
        <f t="shared" si="0"/>
        <v>Medium</v>
      </c>
      <c r="F23" t="s">
        <v>63</v>
      </c>
      <c r="G23" t="s">
        <v>234</v>
      </c>
      <c r="H23">
        <v>2022</v>
      </c>
      <c r="I23" t="s">
        <v>82</v>
      </c>
      <c r="J23" t="s">
        <v>66</v>
      </c>
      <c r="L23" t="s">
        <v>67</v>
      </c>
      <c r="M23" t="s">
        <v>68</v>
      </c>
      <c r="N23" t="s">
        <v>69</v>
      </c>
      <c r="O23" t="s">
        <v>69</v>
      </c>
      <c r="P23" t="s">
        <v>68</v>
      </c>
      <c r="Q23" t="s">
        <v>68</v>
      </c>
      <c r="R23" t="s">
        <v>68</v>
      </c>
      <c r="S23" s="8">
        <f t="shared" si="1"/>
        <v>4</v>
      </c>
      <c r="T23" s="8">
        <v>0</v>
      </c>
      <c r="U23" s="8">
        <f t="shared" si="2"/>
        <v>66.666666666666657</v>
      </c>
      <c r="W23" t="s">
        <v>69</v>
      </c>
      <c r="X23" t="s">
        <v>69</v>
      </c>
      <c r="Y23" t="s">
        <v>69</v>
      </c>
      <c r="Z23" t="s">
        <v>68</v>
      </c>
      <c r="AA23" t="s">
        <v>69</v>
      </c>
      <c r="AB23" t="s">
        <v>69</v>
      </c>
      <c r="AC23" t="s">
        <v>69</v>
      </c>
      <c r="AD23" t="s">
        <v>69</v>
      </c>
      <c r="AE23" t="s">
        <v>69</v>
      </c>
      <c r="AF23" t="s">
        <v>68</v>
      </c>
      <c r="AG23" t="s">
        <v>69</v>
      </c>
      <c r="AH23" t="s">
        <v>68</v>
      </c>
      <c r="AI23" t="s">
        <v>69</v>
      </c>
      <c r="AJ23" t="s">
        <v>69</v>
      </c>
      <c r="AK23" t="s">
        <v>68</v>
      </c>
      <c r="AL23" t="s">
        <v>68</v>
      </c>
      <c r="AM23" t="s">
        <v>69</v>
      </c>
      <c r="AN23" t="s">
        <v>68</v>
      </c>
      <c r="AO23" t="s">
        <v>69</v>
      </c>
      <c r="AP23" t="s">
        <v>68</v>
      </c>
      <c r="AQ23" t="s">
        <v>69</v>
      </c>
      <c r="AR23" t="s">
        <v>69</v>
      </c>
      <c r="AS23" t="s">
        <v>68</v>
      </c>
      <c r="AT23" t="s">
        <v>68</v>
      </c>
      <c r="AU23" t="s">
        <v>69</v>
      </c>
      <c r="AV23" t="s">
        <v>69</v>
      </c>
      <c r="AW23" t="s">
        <v>69</v>
      </c>
      <c r="AX23" t="s">
        <v>69</v>
      </c>
      <c r="AY23" t="s">
        <v>69</v>
      </c>
      <c r="AZ23" t="s">
        <v>68</v>
      </c>
      <c r="BA23" t="s">
        <v>69</v>
      </c>
      <c r="BB23">
        <f>((COUNTIF(W23:AB23, "Yes") + COUNTIF(AC23:AH23, "Yes") + COUNTIF(AI23:AO23, "Yes") + COUNTIF(AP23:AW23, "Yes") + COUNTIF(AX23:BA23, "Yes")) / 31) *100</f>
        <v>32.258064516129032</v>
      </c>
      <c r="BC23">
        <f>COUNTIF(W23:AB23, "Yes") + COUNTIF(AC23:AH23, "Yes") + COUNTIF(AI23:AO23, "Yes") + COUNTIF(AP23:AW23, "Yes") + COUNTIF(AX23:BA23, "Yes")</f>
        <v>10</v>
      </c>
      <c r="BD23" t="str">
        <f t="shared" si="3"/>
        <v>Low</v>
      </c>
      <c r="BE23" t="s">
        <v>89</v>
      </c>
      <c r="BF23" s="13" t="s">
        <v>98</v>
      </c>
      <c r="BG23" s="9">
        <v>2023</v>
      </c>
      <c r="BH23" s="10" t="s">
        <v>72</v>
      </c>
      <c r="BI23" s="8"/>
      <c r="BJ23" t="s">
        <v>71</v>
      </c>
    </row>
    <row r="24" spans="1:62" x14ac:dyDescent="0.35">
      <c r="A24" t="s">
        <v>258</v>
      </c>
      <c r="B24">
        <v>48.5</v>
      </c>
      <c r="C24">
        <v>9.4041666666666597</v>
      </c>
      <c r="D24" s="8">
        <v>6688</v>
      </c>
      <c r="E24" s="8" t="str">
        <f t="shared" si="0"/>
        <v>Large</v>
      </c>
      <c r="F24" t="s">
        <v>63</v>
      </c>
      <c r="G24" t="s">
        <v>163</v>
      </c>
      <c r="H24">
        <v>2004</v>
      </c>
      <c r="I24" t="s">
        <v>65</v>
      </c>
      <c r="J24" t="s">
        <v>66</v>
      </c>
      <c r="L24" t="s">
        <v>183</v>
      </c>
      <c r="M24" t="s">
        <v>69</v>
      </c>
      <c r="N24" t="s">
        <v>69</v>
      </c>
      <c r="O24" t="s">
        <v>69</v>
      </c>
      <c r="P24" t="s">
        <v>69</v>
      </c>
      <c r="Q24" t="s">
        <v>69</v>
      </c>
      <c r="R24" t="s">
        <v>69</v>
      </c>
      <c r="S24" s="8">
        <f t="shared" si="1"/>
        <v>0</v>
      </c>
      <c r="T24" s="8">
        <v>0</v>
      </c>
      <c r="U24" s="8">
        <f t="shared" si="2"/>
        <v>0</v>
      </c>
      <c r="W24" t="s">
        <v>69</v>
      </c>
      <c r="X24" t="s">
        <v>69</v>
      </c>
      <c r="Y24" t="s">
        <v>69</v>
      </c>
      <c r="Z24" t="s">
        <v>69</v>
      </c>
      <c r="AA24" t="s">
        <v>69</v>
      </c>
      <c r="AB24" t="s">
        <v>69</v>
      </c>
      <c r="AC24" t="s">
        <v>69</v>
      </c>
      <c r="AD24" t="s">
        <v>69</v>
      </c>
      <c r="AE24" t="s">
        <v>69</v>
      </c>
      <c r="AF24" t="s">
        <v>69</v>
      </c>
      <c r="AG24" t="s">
        <v>69</v>
      </c>
      <c r="AH24" t="s">
        <v>69</v>
      </c>
      <c r="AI24" t="s">
        <v>69</v>
      </c>
      <c r="AJ24" t="s">
        <v>69</v>
      </c>
      <c r="AK24" t="s">
        <v>69</v>
      </c>
      <c r="AL24" t="s">
        <v>69</v>
      </c>
      <c r="AM24" t="s">
        <v>69</v>
      </c>
      <c r="AN24" t="s">
        <v>69</v>
      </c>
      <c r="AO24" t="s">
        <v>69</v>
      </c>
      <c r="AP24" t="s">
        <v>69</v>
      </c>
      <c r="AQ24" t="s">
        <v>69</v>
      </c>
      <c r="AR24" t="s">
        <v>69</v>
      </c>
      <c r="AS24" t="s">
        <v>69</v>
      </c>
      <c r="AT24" t="s">
        <v>69</v>
      </c>
      <c r="AU24" t="s">
        <v>69</v>
      </c>
      <c r="AV24" t="s">
        <v>69</v>
      </c>
      <c r="AW24" t="s">
        <v>69</v>
      </c>
      <c r="AX24" t="s">
        <v>69</v>
      </c>
      <c r="AY24" t="s">
        <v>69</v>
      </c>
      <c r="AZ24" t="s">
        <v>69</v>
      </c>
      <c r="BA24" t="s">
        <v>69</v>
      </c>
      <c r="BB24">
        <f>((COUNTIF(W24:AB24, "Yes") + COUNTIF(AC24:AH24, "Yes") + COUNTIF(AI24:AO24, "Yes") + COUNTIF(AP24:AW24, "Yes") + COUNTIF(AX24:BA24, "Yes")) / 31) *100</f>
        <v>0</v>
      </c>
      <c r="BC24">
        <f>COUNTIF(W24:AB24, "Yes") + COUNTIF(AC24:AH24, "Yes") + COUNTIF(AI24:AO24, "Yes") + COUNTIF(AP24:AW24, "Yes") + COUNTIF(AX24:BA24, "Yes")</f>
        <v>0</v>
      </c>
      <c r="BD24" t="str">
        <f t="shared" si="3"/>
        <v>Low</v>
      </c>
      <c r="BE24" t="s">
        <v>76</v>
      </c>
      <c r="BF24" s="13" t="s">
        <v>77</v>
      </c>
      <c r="BG24" s="9">
        <v>2023</v>
      </c>
      <c r="BH24" s="10" t="s">
        <v>72</v>
      </c>
      <c r="BI24" s="8">
        <v>0.25</v>
      </c>
      <c r="BJ24" t="s">
        <v>78</v>
      </c>
    </row>
    <row r="25" spans="1:62" x14ac:dyDescent="0.35">
      <c r="A25" t="s">
        <v>208</v>
      </c>
      <c r="B25">
        <v>30.7294444444444</v>
      </c>
      <c r="C25">
        <v>115.053611111111</v>
      </c>
      <c r="D25" s="8">
        <v>2625.54</v>
      </c>
      <c r="E25" s="8" t="str">
        <f t="shared" si="0"/>
        <v>Medium</v>
      </c>
      <c r="F25" t="s">
        <v>80</v>
      </c>
      <c r="G25" t="s">
        <v>81</v>
      </c>
      <c r="H25">
        <v>2018</v>
      </c>
      <c r="I25" t="s">
        <v>82</v>
      </c>
      <c r="J25" t="s">
        <v>10</v>
      </c>
      <c r="K25" t="s">
        <v>209</v>
      </c>
      <c r="L25" t="s">
        <v>183</v>
      </c>
      <c r="M25" t="s">
        <v>69</v>
      </c>
      <c r="N25" t="s">
        <v>69</v>
      </c>
      <c r="O25" t="s">
        <v>68</v>
      </c>
      <c r="P25" t="s">
        <v>69</v>
      </c>
      <c r="Q25" t="s">
        <v>69</v>
      </c>
      <c r="R25" t="s">
        <v>69</v>
      </c>
      <c r="S25" s="8">
        <f t="shared" si="1"/>
        <v>1</v>
      </c>
      <c r="T25" s="8">
        <v>0</v>
      </c>
      <c r="U25" s="8">
        <f t="shared" si="2"/>
        <v>16.666666666666664</v>
      </c>
      <c r="W25" t="s">
        <v>69</v>
      </c>
      <c r="X25" t="s">
        <v>69</v>
      </c>
      <c r="Y25" t="s">
        <v>69</v>
      </c>
      <c r="Z25" t="s">
        <v>69</v>
      </c>
      <c r="AA25" t="s">
        <v>69</v>
      </c>
      <c r="AB25" t="s">
        <v>69</v>
      </c>
      <c r="AC25" t="s">
        <v>69</v>
      </c>
      <c r="AD25" t="s">
        <v>69</v>
      </c>
      <c r="AE25" t="s">
        <v>69</v>
      </c>
      <c r="AF25" t="s">
        <v>69</v>
      </c>
      <c r="AG25" t="s">
        <v>69</v>
      </c>
      <c r="AH25" t="s">
        <v>69</v>
      </c>
      <c r="AI25" t="s">
        <v>69</v>
      </c>
      <c r="AJ25" t="s">
        <v>69</v>
      </c>
      <c r="AK25" t="s">
        <v>69</v>
      </c>
      <c r="AL25" t="s">
        <v>69</v>
      </c>
      <c r="AM25" t="s">
        <v>69</v>
      </c>
      <c r="AN25" t="s">
        <v>69</v>
      </c>
      <c r="AO25" t="s">
        <v>69</v>
      </c>
      <c r="AP25" t="s">
        <v>69</v>
      </c>
      <c r="AQ25" t="s">
        <v>69</v>
      </c>
      <c r="AR25" t="s">
        <v>69</v>
      </c>
      <c r="AS25" t="s">
        <v>69</v>
      </c>
      <c r="AT25" t="s">
        <v>69</v>
      </c>
      <c r="AU25" t="s">
        <v>69</v>
      </c>
      <c r="AV25" t="s">
        <v>69</v>
      </c>
      <c r="AW25" t="s">
        <v>69</v>
      </c>
      <c r="AX25" t="s">
        <v>69</v>
      </c>
      <c r="AY25" t="s">
        <v>69</v>
      </c>
      <c r="AZ25" t="s">
        <v>69</v>
      </c>
      <c r="BA25" t="s">
        <v>69</v>
      </c>
      <c r="BB25">
        <f>((COUNTIF(W25:AB25, "Yes") + COUNTIF(AC25:AH25, "Yes") + COUNTIF(AI25:AO25, "Yes") + COUNTIF(AP25:AW25, "Yes") + COUNTIF(AX25:BA25, "Yes")) / 31) *100</f>
        <v>0</v>
      </c>
      <c r="BC25">
        <f>COUNTIF(W25:AB25, "Yes") + COUNTIF(AC25:AH25, "Yes") + COUNTIF(AI25:AO25, "Yes") + COUNTIF(AP25:AW25, "Yes") + COUNTIF(AX25:BA25, "Yes")</f>
        <v>0</v>
      </c>
      <c r="BD25" t="str">
        <f t="shared" si="3"/>
        <v>Low</v>
      </c>
      <c r="BE25" t="s">
        <v>76</v>
      </c>
      <c r="BF25" s="13" t="s">
        <v>83</v>
      </c>
      <c r="BG25" s="9">
        <v>2023</v>
      </c>
      <c r="BH25" s="10" t="s">
        <v>72</v>
      </c>
      <c r="BI25" s="8">
        <v>0.1</v>
      </c>
      <c r="BJ25" t="s">
        <v>78</v>
      </c>
    </row>
    <row r="26" spans="1:62" x14ac:dyDescent="0.35">
      <c r="A26" t="s">
        <v>168</v>
      </c>
      <c r="B26">
        <v>37.514722222222197</v>
      </c>
      <c r="C26">
        <v>14.3780555555555</v>
      </c>
      <c r="D26" s="8">
        <v>1298</v>
      </c>
      <c r="E26" s="8" t="str">
        <f t="shared" si="0"/>
        <v>Medium</v>
      </c>
      <c r="F26" t="s">
        <v>63</v>
      </c>
      <c r="G26" t="s">
        <v>169</v>
      </c>
      <c r="H26">
        <v>2004</v>
      </c>
      <c r="I26" t="s">
        <v>65</v>
      </c>
      <c r="J26" t="s">
        <v>75</v>
      </c>
      <c r="L26" t="s">
        <v>112</v>
      </c>
      <c r="M26" t="s">
        <v>68</v>
      </c>
      <c r="N26" t="s">
        <v>69</v>
      </c>
      <c r="O26" t="s">
        <v>69</v>
      </c>
      <c r="P26" t="s">
        <v>69</v>
      </c>
      <c r="Q26" t="s">
        <v>69</v>
      </c>
      <c r="R26" t="s">
        <v>68</v>
      </c>
      <c r="S26" s="8">
        <f t="shared" si="1"/>
        <v>2</v>
      </c>
      <c r="T26" s="8">
        <v>0</v>
      </c>
      <c r="U26" s="8">
        <f t="shared" si="2"/>
        <v>33.333333333333329</v>
      </c>
      <c r="W26" t="s">
        <v>68</v>
      </c>
      <c r="X26" t="s">
        <v>69</v>
      </c>
      <c r="Y26" t="s">
        <v>68</v>
      </c>
      <c r="Z26" t="s">
        <v>68</v>
      </c>
      <c r="AA26" t="s">
        <v>69</v>
      </c>
      <c r="AB26" t="s">
        <v>69</v>
      </c>
      <c r="AC26" t="s">
        <v>69</v>
      </c>
      <c r="AD26" t="s">
        <v>69</v>
      </c>
      <c r="AE26" t="s">
        <v>69</v>
      </c>
      <c r="AF26" t="s">
        <v>69</v>
      </c>
      <c r="AG26" t="s">
        <v>68</v>
      </c>
      <c r="AH26" t="s">
        <v>68</v>
      </c>
      <c r="AI26" t="s">
        <v>68</v>
      </c>
      <c r="AJ26" t="s">
        <v>69</v>
      </c>
      <c r="AK26" t="s">
        <v>68</v>
      </c>
      <c r="AL26" t="s">
        <v>69</v>
      </c>
      <c r="AM26" t="s">
        <v>69</v>
      </c>
      <c r="AN26" t="s">
        <v>68</v>
      </c>
      <c r="AO26" t="s">
        <v>69</v>
      </c>
      <c r="AP26" t="s">
        <v>69</v>
      </c>
      <c r="AQ26" t="s">
        <v>69</v>
      </c>
      <c r="AR26" t="s">
        <v>69</v>
      </c>
      <c r="AS26" t="s">
        <v>69</v>
      </c>
      <c r="AT26" t="s">
        <v>69</v>
      </c>
      <c r="AU26" t="s">
        <v>69</v>
      </c>
      <c r="AV26" t="s">
        <v>68</v>
      </c>
      <c r="AW26" t="s">
        <v>69</v>
      </c>
      <c r="AX26" t="s">
        <v>69</v>
      </c>
      <c r="AY26" t="s">
        <v>69</v>
      </c>
      <c r="AZ26" t="s">
        <v>69</v>
      </c>
      <c r="BA26" t="s">
        <v>69</v>
      </c>
      <c r="BB26">
        <f>((COUNTIF(W26:AB26, "Yes") + COUNTIF(AC26:AH26, "Yes") + COUNTIF(AI26:AO26, "Yes") + COUNTIF(AP26:AW26, "Yes") + COUNTIF(AX26:BA26, "Yes")) / 31) *100</f>
        <v>29.032258064516132</v>
      </c>
      <c r="BC26">
        <f>COUNTIF(W26:AB26, "Yes") + COUNTIF(AC26:AH26, "Yes") + COUNTIF(AI26:AO26, "Yes") + COUNTIF(AP26:AW26, "Yes") + COUNTIF(AX26:BA26, "Yes")</f>
        <v>9</v>
      </c>
      <c r="BD26" t="str">
        <f t="shared" si="3"/>
        <v>Low</v>
      </c>
      <c r="BE26" t="s">
        <v>76</v>
      </c>
      <c r="BF26" s="13" t="s">
        <v>83</v>
      </c>
      <c r="BG26" s="9">
        <v>2022</v>
      </c>
      <c r="BH26" s="10" t="s">
        <v>72</v>
      </c>
      <c r="BI26" s="8">
        <v>0.25</v>
      </c>
      <c r="BJ26" t="s">
        <v>78</v>
      </c>
    </row>
    <row r="27" spans="1:62" x14ac:dyDescent="0.35">
      <c r="A27" t="s">
        <v>136</v>
      </c>
      <c r="B27">
        <v>51.930833333333297</v>
      </c>
      <c r="C27">
        <v>-3.4058333333333302</v>
      </c>
      <c r="D27" s="8">
        <v>763</v>
      </c>
      <c r="E27" s="8" t="str">
        <f t="shared" si="0"/>
        <v>Small</v>
      </c>
      <c r="F27" t="s">
        <v>63</v>
      </c>
      <c r="G27" t="s">
        <v>137</v>
      </c>
      <c r="H27">
        <v>2005</v>
      </c>
      <c r="I27" t="s">
        <v>65</v>
      </c>
      <c r="J27" t="s">
        <v>10</v>
      </c>
      <c r="K27" t="s">
        <v>138</v>
      </c>
      <c r="L27" t="s">
        <v>112</v>
      </c>
      <c r="M27" t="s">
        <v>68</v>
      </c>
      <c r="N27" t="s">
        <v>69</v>
      </c>
      <c r="O27" t="s">
        <v>69</v>
      </c>
      <c r="P27" t="s">
        <v>68</v>
      </c>
      <c r="Q27" t="s">
        <v>69</v>
      </c>
      <c r="R27" t="s">
        <v>69</v>
      </c>
      <c r="S27" s="8">
        <f t="shared" si="1"/>
        <v>2</v>
      </c>
      <c r="T27" s="8">
        <v>0</v>
      </c>
      <c r="U27" s="8">
        <f t="shared" si="2"/>
        <v>33.333333333333329</v>
      </c>
      <c r="W27" t="s">
        <v>69</v>
      </c>
      <c r="X27" t="s">
        <v>69</v>
      </c>
      <c r="Y27" t="s">
        <v>68</v>
      </c>
      <c r="Z27" t="s">
        <v>69</v>
      </c>
      <c r="AA27" t="s">
        <v>69</v>
      </c>
      <c r="AB27" t="s">
        <v>69</v>
      </c>
      <c r="AC27" t="s">
        <v>69</v>
      </c>
      <c r="AD27" t="s">
        <v>69</v>
      </c>
      <c r="AE27" t="s">
        <v>69</v>
      </c>
      <c r="AF27" t="s">
        <v>69</v>
      </c>
      <c r="AG27" t="s">
        <v>69</v>
      </c>
      <c r="AH27" t="s">
        <v>68</v>
      </c>
      <c r="AI27" t="s">
        <v>69</v>
      </c>
      <c r="AJ27" t="s">
        <v>69</v>
      </c>
      <c r="AK27" t="s">
        <v>69</v>
      </c>
      <c r="AL27" t="s">
        <v>69</v>
      </c>
      <c r="AM27" t="s">
        <v>68</v>
      </c>
      <c r="AN27" t="s">
        <v>69</v>
      </c>
      <c r="AO27" t="s">
        <v>69</v>
      </c>
      <c r="AP27" t="s">
        <v>69</v>
      </c>
      <c r="AQ27" t="s">
        <v>69</v>
      </c>
      <c r="AR27" t="s">
        <v>69</v>
      </c>
      <c r="AS27" t="s">
        <v>68</v>
      </c>
      <c r="AT27" t="s">
        <v>69</v>
      </c>
      <c r="AU27" t="s">
        <v>69</v>
      </c>
      <c r="AV27" t="s">
        <v>69</v>
      </c>
      <c r="AW27" t="s">
        <v>69</v>
      </c>
      <c r="AX27" t="s">
        <v>69</v>
      </c>
      <c r="AY27" t="s">
        <v>69</v>
      </c>
      <c r="AZ27" t="s">
        <v>69</v>
      </c>
      <c r="BA27" t="s">
        <v>69</v>
      </c>
      <c r="BB27">
        <f>((COUNTIF(W27:AB27, "Yes") + COUNTIF(AC27:AH27, "Yes") + COUNTIF(AI27:AO27, "Yes") + COUNTIF(AP27:AW27, "Yes") + COUNTIF(AX27:BA27, "Yes")) / 31) *100</f>
        <v>12.903225806451612</v>
      </c>
      <c r="BC27">
        <f>COUNTIF(W27:AB27, "Yes") + COUNTIF(AC27:AH27, "Yes") + COUNTIF(AI27:AO27, "Yes") + COUNTIF(AP27:AW27, "Yes") + COUNTIF(AX27:BA27, "Yes")</f>
        <v>4</v>
      </c>
      <c r="BD27" t="str">
        <f t="shared" si="3"/>
        <v>Low</v>
      </c>
      <c r="BE27" t="s">
        <v>76</v>
      </c>
      <c r="BF27" s="13" t="s">
        <v>83</v>
      </c>
      <c r="BH27" s="10" t="s">
        <v>99</v>
      </c>
      <c r="BI27" s="8">
        <v>0.05</v>
      </c>
      <c r="BJ27" t="s">
        <v>78</v>
      </c>
    </row>
    <row r="28" spans="1:62" x14ac:dyDescent="0.35">
      <c r="A28" t="s">
        <v>175</v>
      </c>
      <c r="B28">
        <v>45.983055555555502</v>
      </c>
      <c r="C28">
        <v>4.7166666666666597</v>
      </c>
      <c r="D28" s="8">
        <v>1550</v>
      </c>
      <c r="E28" s="8" t="str">
        <f t="shared" si="0"/>
        <v>Medium</v>
      </c>
      <c r="F28" t="s">
        <v>63</v>
      </c>
      <c r="G28" t="s">
        <v>176</v>
      </c>
      <c r="H28">
        <v>2018</v>
      </c>
      <c r="I28" t="s">
        <v>82</v>
      </c>
      <c r="J28" t="s">
        <v>66</v>
      </c>
      <c r="L28" t="s">
        <v>112</v>
      </c>
      <c r="M28" t="s">
        <v>69</v>
      </c>
      <c r="N28" t="s">
        <v>69</v>
      </c>
      <c r="O28" t="s">
        <v>69</v>
      </c>
      <c r="P28" t="s">
        <v>69</v>
      </c>
      <c r="Q28" t="s">
        <v>69</v>
      </c>
      <c r="R28" t="s">
        <v>69</v>
      </c>
      <c r="S28" s="8">
        <f t="shared" si="1"/>
        <v>0</v>
      </c>
      <c r="T28" s="8">
        <v>0</v>
      </c>
      <c r="U28" s="8">
        <f t="shared" si="2"/>
        <v>0</v>
      </c>
      <c r="V28" t="s">
        <v>177</v>
      </c>
      <c r="W28" t="s">
        <v>69</v>
      </c>
      <c r="X28" t="s">
        <v>69</v>
      </c>
      <c r="Y28" t="s">
        <v>69</v>
      </c>
      <c r="Z28" t="s">
        <v>69</v>
      </c>
      <c r="AA28" t="s">
        <v>69</v>
      </c>
      <c r="AB28" t="s">
        <v>69</v>
      </c>
      <c r="AC28" t="s">
        <v>69</v>
      </c>
      <c r="AD28" t="s">
        <v>69</v>
      </c>
      <c r="AE28" t="s">
        <v>69</v>
      </c>
      <c r="AF28" t="s">
        <v>69</v>
      </c>
      <c r="AG28" t="s">
        <v>69</v>
      </c>
      <c r="AH28" t="s">
        <v>69</v>
      </c>
      <c r="AI28" t="s">
        <v>69</v>
      </c>
      <c r="AJ28" t="s">
        <v>69</v>
      </c>
      <c r="AK28" t="s">
        <v>69</v>
      </c>
      <c r="AL28" t="s">
        <v>69</v>
      </c>
      <c r="AM28" t="s">
        <v>69</v>
      </c>
      <c r="AN28" t="s">
        <v>69</v>
      </c>
      <c r="AO28" t="s">
        <v>69</v>
      </c>
      <c r="AP28" t="s">
        <v>69</v>
      </c>
      <c r="AQ28" t="s">
        <v>69</v>
      </c>
      <c r="AR28" t="s">
        <v>69</v>
      </c>
      <c r="AS28" t="s">
        <v>69</v>
      </c>
      <c r="AT28" t="s">
        <v>69</v>
      </c>
      <c r="AU28" t="s">
        <v>69</v>
      </c>
      <c r="AV28" t="s">
        <v>69</v>
      </c>
      <c r="AW28" t="s">
        <v>69</v>
      </c>
      <c r="AX28" t="s">
        <v>69</v>
      </c>
      <c r="AY28" t="s">
        <v>69</v>
      </c>
      <c r="AZ28" t="s">
        <v>69</v>
      </c>
      <c r="BA28" t="s">
        <v>69</v>
      </c>
      <c r="BB28">
        <f>((COUNTIF(W28:AB28, "Yes") + COUNTIF(AC28:AH28, "Yes") + COUNTIF(AI28:AO28, "Yes") + COUNTIF(AP28:AW28, "Yes") + COUNTIF(AX28:BA28, "Yes")) / 31) *100</f>
        <v>0</v>
      </c>
      <c r="BC28">
        <f>COUNTIF(W28:AB28, "Yes") + COUNTIF(AC28:AH28, "Yes") + COUNTIF(AI28:AO28, "Yes") + COUNTIF(AP28:AW28, "Yes") + COUNTIF(AX28:BA28, "Yes")</f>
        <v>0</v>
      </c>
      <c r="BD28" t="str">
        <f t="shared" si="3"/>
        <v>Low</v>
      </c>
      <c r="BE28" t="s">
        <v>76</v>
      </c>
      <c r="BF28" s="13" t="s">
        <v>98</v>
      </c>
      <c r="BH28" s="10" t="s">
        <v>99</v>
      </c>
      <c r="BI28" s="8"/>
      <c r="BJ28" t="s">
        <v>85</v>
      </c>
    </row>
    <row r="29" spans="1:62" x14ac:dyDescent="0.35">
      <c r="A29" t="s">
        <v>117</v>
      </c>
      <c r="B29">
        <v>29.35</v>
      </c>
      <c r="C29">
        <v>115.833333333333</v>
      </c>
      <c r="D29" s="8">
        <v>500</v>
      </c>
      <c r="E29" s="8" t="str">
        <f t="shared" si="0"/>
        <v>Small</v>
      </c>
      <c r="F29" t="s">
        <v>80</v>
      </c>
      <c r="G29" t="s">
        <v>81</v>
      </c>
      <c r="H29">
        <v>2004</v>
      </c>
      <c r="I29" t="s">
        <v>65</v>
      </c>
      <c r="J29" t="s">
        <v>66</v>
      </c>
      <c r="L29" t="s">
        <v>105</v>
      </c>
      <c r="M29" t="s">
        <v>69</v>
      </c>
      <c r="N29" t="s">
        <v>68</v>
      </c>
      <c r="O29" t="s">
        <v>69</v>
      </c>
      <c r="P29" t="s">
        <v>69</v>
      </c>
      <c r="Q29" t="s">
        <v>68</v>
      </c>
      <c r="R29" t="s">
        <v>69</v>
      </c>
      <c r="S29" s="8">
        <f t="shared" si="1"/>
        <v>2</v>
      </c>
      <c r="T29" s="8">
        <v>0</v>
      </c>
      <c r="U29" s="8">
        <f t="shared" si="2"/>
        <v>33.333333333333329</v>
      </c>
      <c r="W29" t="s">
        <v>69</v>
      </c>
      <c r="X29" t="s">
        <v>69</v>
      </c>
      <c r="Y29" t="s">
        <v>69</v>
      </c>
      <c r="Z29" t="s">
        <v>69</v>
      </c>
      <c r="AA29" t="s">
        <v>69</v>
      </c>
      <c r="AB29" t="s">
        <v>69</v>
      </c>
      <c r="AC29" t="s">
        <v>69</v>
      </c>
      <c r="AD29" t="s">
        <v>69</v>
      </c>
      <c r="AE29" t="s">
        <v>69</v>
      </c>
      <c r="AF29" t="s">
        <v>69</v>
      </c>
      <c r="AG29" t="s">
        <v>69</v>
      </c>
      <c r="AH29" t="s">
        <v>69</v>
      </c>
      <c r="AI29" t="s">
        <v>69</v>
      </c>
      <c r="AJ29" t="s">
        <v>69</v>
      </c>
      <c r="AK29" t="s">
        <v>69</v>
      </c>
      <c r="AL29" t="s">
        <v>69</v>
      </c>
      <c r="AM29" t="s">
        <v>69</v>
      </c>
      <c r="AN29" t="s">
        <v>69</v>
      </c>
      <c r="AO29" t="s">
        <v>69</v>
      </c>
      <c r="AP29" t="s">
        <v>69</v>
      </c>
      <c r="AQ29" t="s">
        <v>69</v>
      </c>
      <c r="AR29" t="s">
        <v>69</v>
      </c>
      <c r="AS29" t="s">
        <v>69</v>
      </c>
      <c r="AT29" t="s">
        <v>69</v>
      </c>
      <c r="AU29" t="s">
        <v>69</v>
      </c>
      <c r="AV29" t="s">
        <v>69</v>
      </c>
      <c r="AW29" t="s">
        <v>69</v>
      </c>
      <c r="AX29" t="s">
        <v>69</v>
      </c>
      <c r="AY29" t="s">
        <v>69</v>
      </c>
      <c r="AZ29" t="s">
        <v>69</v>
      </c>
      <c r="BA29" t="s">
        <v>69</v>
      </c>
      <c r="BB29">
        <f>((COUNTIF(W29:AB29, "Yes") + COUNTIF(AC29:AH29, "Yes") + COUNTIF(AI29:AO29, "Yes") + COUNTIF(AP29:AW29, "Yes") + COUNTIF(AX29:BA29, "Yes")) / 31) *100</f>
        <v>0</v>
      </c>
      <c r="BC29">
        <f>COUNTIF(W29:AB29, "Yes") + COUNTIF(AC29:AH29, "Yes") + COUNTIF(AI29:AO29, "Yes") + COUNTIF(AP29:AW29, "Yes") + COUNTIF(AX29:BA29, "Yes")</f>
        <v>0</v>
      </c>
      <c r="BD29" t="str">
        <f t="shared" si="3"/>
        <v>Low</v>
      </c>
      <c r="BE29" t="s">
        <v>76</v>
      </c>
      <c r="BF29" s="13" t="s">
        <v>72</v>
      </c>
      <c r="BH29" s="10" t="s">
        <v>240</v>
      </c>
      <c r="BI29" s="8">
        <v>0.05</v>
      </c>
      <c r="BJ29" t="s">
        <v>78</v>
      </c>
    </row>
    <row r="30" spans="1:62" x14ac:dyDescent="0.35">
      <c r="A30" t="s">
        <v>210</v>
      </c>
      <c r="B30">
        <v>26.9172222222222</v>
      </c>
      <c r="C30">
        <v>119.017222222222</v>
      </c>
      <c r="D30" s="8">
        <v>2660.34</v>
      </c>
      <c r="E30" s="8" t="str">
        <f t="shared" si="0"/>
        <v>Medium</v>
      </c>
      <c r="F30" t="s">
        <v>80</v>
      </c>
      <c r="G30" t="s">
        <v>81</v>
      </c>
      <c r="H30">
        <v>2010</v>
      </c>
      <c r="I30" t="s">
        <v>65</v>
      </c>
      <c r="J30" t="s">
        <v>97</v>
      </c>
      <c r="L30" t="s">
        <v>105</v>
      </c>
      <c r="M30" t="s">
        <v>69</v>
      </c>
      <c r="N30" t="s">
        <v>69</v>
      </c>
      <c r="O30" t="s">
        <v>69</v>
      </c>
      <c r="P30" t="s">
        <v>69</v>
      </c>
      <c r="Q30" t="s">
        <v>68</v>
      </c>
      <c r="R30" t="s">
        <v>69</v>
      </c>
      <c r="S30" s="8">
        <f t="shared" si="1"/>
        <v>1</v>
      </c>
      <c r="T30" s="8">
        <v>0</v>
      </c>
      <c r="U30" s="8">
        <f t="shared" si="2"/>
        <v>16.666666666666664</v>
      </c>
      <c r="W30" t="s">
        <v>68</v>
      </c>
      <c r="X30" t="s">
        <v>69</v>
      </c>
      <c r="Y30" t="s">
        <v>69</v>
      </c>
      <c r="Z30" t="s">
        <v>69</v>
      </c>
      <c r="AA30" t="s">
        <v>68</v>
      </c>
      <c r="AB30" t="s">
        <v>68</v>
      </c>
      <c r="AC30" t="s">
        <v>68</v>
      </c>
      <c r="AD30" t="s">
        <v>68</v>
      </c>
      <c r="AE30" t="s">
        <v>69</v>
      </c>
      <c r="AF30" t="s">
        <v>69</v>
      </c>
      <c r="AG30" t="s">
        <v>69</v>
      </c>
      <c r="AH30" t="s">
        <v>69</v>
      </c>
      <c r="AI30" t="s">
        <v>69</v>
      </c>
      <c r="AJ30" t="s">
        <v>69</v>
      </c>
      <c r="AK30" t="s">
        <v>69</v>
      </c>
      <c r="AL30" t="s">
        <v>69</v>
      </c>
      <c r="AM30" t="s">
        <v>69</v>
      </c>
      <c r="AN30" t="s">
        <v>69</v>
      </c>
      <c r="AO30" t="s">
        <v>69</v>
      </c>
      <c r="AP30" t="s">
        <v>68</v>
      </c>
      <c r="AQ30" t="s">
        <v>69</v>
      </c>
      <c r="AR30" t="s">
        <v>68</v>
      </c>
      <c r="AS30" t="s">
        <v>69</v>
      </c>
      <c r="AT30" t="s">
        <v>68</v>
      </c>
      <c r="AU30" t="s">
        <v>69</v>
      </c>
      <c r="AV30" t="s">
        <v>69</v>
      </c>
      <c r="AW30" t="s">
        <v>69</v>
      </c>
      <c r="AX30" t="s">
        <v>69</v>
      </c>
      <c r="AY30" t="s">
        <v>69</v>
      </c>
      <c r="AZ30" t="s">
        <v>68</v>
      </c>
      <c r="BA30" t="s">
        <v>69</v>
      </c>
      <c r="BB30">
        <f>((COUNTIF(W30:AB30, "Yes") + COUNTIF(AC30:AH30, "Yes") + COUNTIF(AI30:AO30, "Yes") + COUNTIF(AP30:AW30, "Yes") + COUNTIF(AX30:BA30, "Yes")) / 31) *100</f>
        <v>29.032258064516132</v>
      </c>
      <c r="BC30">
        <f>COUNTIF(W30:AB30, "Yes") + COUNTIF(AC30:AH30, "Yes") + COUNTIF(AI30:AO30, "Yes") + COUNTIF(AP30:AW30, "Yes") + COUNTIF(AX30:BA30, "Yes")</f>
        <v>9</v>
      </c>
      <c r="BD30" t="str">
        <f t="shared" si="3"/>
        <v>Low</v>
      </c>
      <c r="BE30" t="s">
        <v>89</v>
      </c>
      <c r="BF30" s="13" t="s">
        <v>83</v>
      </c>
      <c r="BG30" s="9">
        <v>2016</v>
      </c>
      <c r="BH30" s="10" t="s">
        <v>84</v>
      </c>
      <c r="BJ30" t="s">
        <v>85</v>
      </c>
    </row>
    <row r="31" spans="1:62" x14ac:dyDescent="0.35">
      <c r="A31" t="s">
        <v>130</v>
      </c>
      <c r="B31">
        <v>50.597222219999999</v>
      </c>
      <c r="C31">
        <v>15.11722222</v>
      </c>
      <c r="D31" s="8">
        <v>742</v>
      </c>
      <c r="E31" s="8" t="str">
        <f t="shared" si="0"/>
        <v>Small</v>
      </c>
      <c r="F31" t="s">
        <v>63</v>
      </c>
      <c r="G31" t="s">
        <v>131</v>
      </c>
      <c r="H31">
        <v>2005</v>
      </c>
      <c r="I31" t="s">
        <v>65</v>
      </c>
      <c r="J31" t="s">
        <v>75</v>
      </c>
      <c r="L31" t="s">
        <v>105</v>
      </c>
      <c r="M31" t="s">
        <v>69</v>
      </c>
      <c r="N31" t="s">
        <v>69</v>
      </c>
      <c r="O31" t="s">
        <v>69</v>
      </c>
      <c r="P31" t="s">
        <v>69</v>
      </c>
      <c r="Q31" t="s">
        <v>69</v>
      </c>
      <c r="R31" t="s">
        <v>69</v>
      </c>
      <c r="S31" s="8">
        <f t="shared" si="1"/>
        <v>0</v>
      </c>
      <c r="T31" s="8">
        <v>0</v>
      </c>
      <c r="U31" s="8">
        <f t="shared" si="2"/>
        <v>0</v>
      </c>
      <c r="W31" t="s">
        <v>68</v>
      </c>
      <c r="X31" t="s">
        <v>69</v>
      </c>
      <c r="Y31" t="s">
        <v>68</v>
      </c>
      <c r="Z31" t="s">
        <v>69</v>
      </c>
      <c r="AA31" t="s">
        <v>69</v>
      </c>
      <c r="AB31" t="s">
        <v>69</v>
      </c>
      <c r="AC31" t="s">
        <v>69</v>
      </c>
      <c r="AD31" t="s">
        <v>69</v>
      </c>
      <c r="AE31" t="s">
        <v>69</v>
      </c>
      <c r="AF31" t="s">
        <v>69</v>
      </c>
      <c r="AG31" t="s">
        <v>68</v>
      </c>
      <c r="AH31" t="s">
        <v>69</v>
      </c>
      <c r="AI31" t="s">
        <v>69</v>
      </c>
      <c r="AJ31" t="s">
        <v>68</v>
      </c>
      <c r="AK31" t="s">
        <v>68</v>
      </c>
      <c r="AL31" t="s">
        <v>68</v>
      </c>
      <c r="AM31" t="s">
        <v>68</v>
      </c>
      <c r="AN31" t="s">
        <v>69</v>
      </c>
      <c r="AO31" t="s">
        <v>68</v>
      </c>
      <c r="AP31" t="s">
        <v>68</v>
      </c>
      <c r="AQ31" t="s">
        <v>69</v>
      </c>
      <c r="AR31" t="s">
        <v>69</v>
      </c>
      <c r="AS31" t="s">
        <v>69</v>
      </c>
      <c r="AT31" t="s">
        <v>68</v>
      </c>
      <c r="AU31" t="s">
        <v>68</v>
      </c>
      <c r="AV31" t="s">
        <v>68</v>
      </c>
      <c r="AW31" t="s">
        <v>69</v>
      </c>
      <c r="AX31" t="s">
        <v>69</v>
      </c>
      <c r="AY31" t="s">
        <v>69</v>
      </c>
      <c r="AZ31" t="s">
        <v>69</v>
      </c>
      <c r="BA31" t="s">
        <v>69</v>
      </c>
      <c r="BB31">
        <f>((COUNTIF(W31:AB31, "Yes") + COUNTIF(AC31:AH31, "Yes") + COUNTIF(AI31:AO31, "Yes") + COUNTIF(AP31:AW31, "Yes") + COUNTIF(AX31:BA31, "Yes")) / 31) *100</f>
        <v>38.70967741935484</v>
      </c>
      <c r="BC31">
        <f>COUNTIF(W31:AB31, "Yes") + COUNTIF(AC31:AH31, "Yes") + COUNTIF(AI31:AO31, "Yes") + COUNTIF(AP31:AW31, "Yes") + COUNTIF(AX31:BA31, "Yes")</f>
        <v>12</v>
      </c>
      <c r="BD31" t="str">
        <f t="shared" si="3"/>
        <v>Moderate</v>
      </c>
      <c r="BE31" t="s">
        <v>71</v>
      </c>
      <c r="BF31" s="13" t="s">
        <v>72</v>
      </c>
      <c r="BG31" s="9">
        <v>2018</v>
      </c>
      <c r="BH31" s="10" t="s">
        <v>84</v>
      </c>
      <c r="BI31" s="8">
        <v>0.2</v>
      </c>
      <c r="BJ31" t="s">
        <v>78</v>
      </c>
    </row>
    <row r="32" spans="1:62" x14ac:dyDescent="0.35">
      <c r="A32" t="s">
        <v>140</v>
      </c>
      <c r="B32">
        <v>63.973055555555497</v>
      </c>
      <c r="C32">
        <v>-22.516666666666602</v>
      </c>
      <c r="D32" s="8">
        <v>825</v>
      </c>
      <c r="E32" s="8" t="str">
        <f t="shared" si="0"/>
        <v>Small</v>
      </c>
      <c r="F32" t="s">
        <v>63</v>
      </c>
      <c r="G32" t="s">
        <v>141</v>
      </c>
      <c r="H32">
        <v>2015</v>
      </c>
      <c r="I32" t="s">
        <v>82</v>
      </c>
      <c r="J32" t="s">
        <v>66</v>
      </c>
      <c r="L32" t="s">
        <v>105</v>
      </c>
      <c r="M32" t="s">
        <v>68</v>
      </c>
      <c r="N32" t="s">
        <v>69</v>
      </c>
      <c r="O32" t="s">
        <v>69</v>
      </c>
      <c r="P32" t="s">
        <v>69</v>
      </c>
      <c r="Q32" t="s">
        <v>69</v>
      </c>
      <c r="R32" t="s">
        <v>69</v>
      </c>
      <c r="S32" s="8">
        <f t="shared" si="1"/>
        <v>1</v>
      </c>
      <c r="T32" s="8">
        <v>0</v>
      </c>
      <c r="U32" s="8">
        <f t="shared" si="2"/>
        <v>16.666666666666664</v>
      </c>
      <c r="W32" t="s">
        <v>68</v>
      </c>
      <c r="X32" t="s">
        <v>69</v>
      </c>
      <c r="Y32" t="s">
        <v>69</v>
      </c>
      <c r="Z32" t="s">
        <v>68</v>
      </c>
      <c r="AA32" t="s">
        <v>69</v>
      </c>
      <c r="AB32" t="s">
        <v>69</v>
      </c>
      <c r="AC32" t="s">
        <v>69</v>
      </c>
      <c r="AD32" t="s">
        <v>69</v>
      </c>
      <c r="AE32" t="s">
        <v>68</v>
      </c>
      <c r="AF32" t="s">
        <v>68</v>
      </c>
      <c r="AG32" t="s">
        <v>68</v>
      </c>
      <c r="AH32" t="s">
        <v>69</v>
      </c>
      <c r="AI32" t="s">
        <v>69</v>
      </c>
      <c r="AJ32" t="s">
        <v>69</v>
      </c>
      <c r="AK32" t="s">
        <v>69</v>
      </c>
      <c r="AL32" t="s">
        <v>68</v>
      </c>
      <c r="AM32" t="s">
        <v>69</v>
      </c>
      <c r="AN32" t="s">
        <v>69</v>
      </c>
      <c r="AO32" t="s">
        <v>69</v>
      </c>
      <c r="AP32" t="s">
        <v>68</v>
      </c>
      <c r="AQ32" t="s">
        <v>69</v>
      </c>
      <c r="AR32" t="s">
        <v>68</v>
      </c>
      <c r="AS32" t="s">
        <v>68</v>
      </c>
      <c r="AT32" t="s">
        <v>68</v>
      </c>
      <c r="AU32" t="s">
        <v>69</v>
      </c>
      <c r="AV32" t="s">
        <v>69</v>
      </c>
      <c r="AW32" t="s">
        <v>69</v>
      </c>
      <c r="AX32" t="s">
        <v>69</v>
      </c>
      <c r="AY32" t="s">
        <v>69</v>
      </c>
      <c r="AZ32" t="s">
        <v>69</v>
      </c>
      <c r="BA32" t="s">
        <v>69</v>
      </c>
      <c r="BB32">
        <f>((COUNTIF(W32:AB32, "Yes") + COUNTIF(AC32:AH32, "Yes") + COUNTIF(AI32:AO32, "Yes") + COUNTIF(AP32:AW32, "Yes") + COUNTIF(AX32:BA32, "Yes")) / 31) *100</f>
        <v>32.258064516129032</v>
      </c>
      <c r="BC32">
        <f>COUNTIF(W32:AB32, "Yes") + COUNTIF(AC32:AH32, "Yes") + COUNTIF(AI32:AO32, "Yes") + COUNTIF(AP32:AW32, "Yes") + COUNTIF(AX32:BA32, "Yes")</f>
        <v>10</v>
      </c>
      <c r="BD32" t="str">
        <f t="shared" si="3"/>
        <v>Low</v>
      </c>
      <c r="BE32" t="s">
        <v>89</v>
      </c>
      <c r="BF32" s="13" t="s">
        <v>83</v>
      </c>
      <c r="BG32" s="9">
        <v>2023</v>
      </c>
      <c r="BH32" s="10" t="s">
        <v>72</v>
      </c>
      <c r="BJ32" t="s">
        <v>85</v>
      </c>
    </row>
    <row r="33" spans="1:63" x14ac:dyDescent="0.35">
      <c r="A33" t="s">
        <v>187</v>
      </c>
      <c r="B33">
        <v>44.571944444444398</v>
      </c>
      <c r="C33">
        <v>1.6863888888888801</v>
      </c>
      <c r="D33" s="8">
        <v>1855</v>
      </c>
      <c r="E33" s="8" t="str">
        <f t="shared" si="0"/>
        <v>Medium</v>
      </c>
      <c r="F33" t="s">
        <v>63</v>
      </c>
      <c r="G33" t="s">
        <v>176</v>
      </c>
      <c r="H33">
        <v>2017</v>
      </c>
      <c r="I33" t="s">
        <v>82</v>
      </c>
      <c r="J33" t="s">
        <v>75</v>
      </c>
      <c r="L33" t="s">
        <v>105</v>
      </c>
      <c r="M33" t="s">
        <v>69</v>
      </c>
      <c r="N33" t="s">
        <v>69</v>
      </c>
      <c r="O33" t="s">
        <v>69</v>
      </c>
      <c r="P33" t="s">
        <v>69</v>
      </c>
      <c r="Q33" t="s">
        <v>68</v>
      </c>
      <c r="R33" t="s">
        <v>68</v>
      </c>
      <c r="S33" s="8">
        <f t="shared" si="1"/>
        <v>2</v>
      </c>
      <c r="T33" s="8">
        <v>0</v>
      </c>
      <c r="U33" s="8">
        <f t="shared" si="2"/>
        <v>33.333333333333329</v>
      </c>
      <c r="W33" t="s">
        <v>69</v>
      </c>
      <c r="X33" t="s">
        <v>69</v>
      </c>
      <c r="Y33" t="s">
        <v>69</v>
      </c>
      <c r="Z33" t="s">
        <v>68</v>
      </c>
      <c r="AA33" t="s">
        <v>69</v>
      </c>
      <c r="AB33" t="s">
        <v>69</v>
      </c>
      <c r="AC33" t="s">
        <v>69</v>
      </c>
      <c r="AD33" t="s">
        <v>69</v>
      </c>
      <c r="AE33" t="s">
        <v>69</v>
      </c>
      <c r="AF33" t="s">
        <v>69</v>
      </c>
      <c r="AG33" t="s">
        <v>69</v>
      </c>
      <c r="AH33" t="s">
        <v>68</v>
      </c>
      <c r="AI33" t="s">
        <v>68</v>
      </c>
      <c r="AJ33" t="s">
        <v>69</v>
      </c>
      <c r="AK33" t="s">
        <v>69</v>
      </c>
      <c r="AL33" t="s">
        <v>69</v>
      </c>
      <c r="AM33" t="s">
        <v>69</v>
      </c>
      <c r="AN33" t="s">
        <v>69</v>
      </c>
      <c r="AO33" t="s">
        <v>69</v>
      </c>
      <c r="AP33" t="s">
        <v>69</v>
      </c>
      <c r="AQ33" t="s">
        <v>69</v>
      </c>
      <c r="AR33" t="s">
        <v>69</v>
      </c>
      <c r="AS33" t="s">
        <v>69</v>
      </c>
      <c r="AT33" t="s">
        <v>69</v>
      </c>
      <c r="AU33" t="s">
        <v>69</v>
      </c>
      <c r="AV33" t="s">
        <v>69</v>
      </c>
      <c r="AW33" t="s">
        <v>69</v>
      </c>
      <c r="AX33" t="s">
        <v>69</v>
      </c>
      <c r="AY33" t="s">
        <v>69</v>
      </c>
      <c r="AZ33" t="s">
        <v>69</v>
      </c>
      <c r="BA33" t="s">
        <v>69</v>
      </c>
      <c r="BB33">
        <f>((COUNTIF(W33:AB33, "Yes") + COUNTIF(AC33:AH33, "Yes") + COUNTIF(AI33:AO33, "Yes") + COUNTIF(AP33:AW33, "Yes") + COUNTIF(AX33:BA33, "Yes")) / 31) *100</f>
        <v>9.67741935483871</v>
      </c>
      <c r="BC33">
        <f>COUNTIF(W33:AB33, "Yes") + COUNTIF(AC33:AH33, "Yes") + COUNTIF(AI33:AO33, "Yes") + COUNTIF(AP33:AW33, "Yes") + COUNTIF(AX33:BA33, "Yes")</f>
        <v>3</v>
      </c>
      <c r="BD33" t="str">
        <f t="shared" si="3"/>
        <v>Low</v>
      </c>
      <c r="BE33" t="s">
        <v>89</v>
      </c>
      <c r="BF33" s="13" t="s">
        <v>77</v>
      </c>
      <c r="BG33" s="9">
        <v>2023</v>
      </c>
      <c r="BH33" s="10" t="s">
        <v>72</v>
      </c>
      <c r="BI33" s="8">
        <v>0.1</v>
      </c>
      <c r="BJ33" t="s">
        <v>78</v>
      </c>
      <c r="BK33" s="15"/>
    </row>
    <row r="34" spans="1:63" x14ac:dyDescent="0.35">
      <c r="A34" t="s">
        <v>260</v>
      </c>
      <c r="B34">
        <v>-45.101002222222199</v>
      </c>
      <c r="C34">
        <v>170.968487222222</v>
      </c>
      <c r="D34" s="8">
        <v>7214</v>
      </c>
      <c r="E34" s="8" t="str">
        <f t="shared" ref="E34:E65" si="4">IF(D34&lt;1000,"Small",IF(D34&lt;=5000,"Medium",IF(D34&lt;=10000,"Large","Very Large")))</f>
        <v>Large</v>
      </c>
      <c r="F34" t="s">
        <v>80</v>
      </c>
      <c r="G34" t="s">
        <v>261</v>
      </c>
      <c r="H34">
        <v>2023</v>
      </c>
      <c r="I34" t="s">
        <v>82</v>
      </c>
      <c r="J34" t="s">
        <v>66</v>
      </c>
      <c r="L34" t="s">
        <v>105</v>
      </c>
      <c r="M34" t="s">
        <v>69</v>
      </c>
      <c r="N34" t="s">
        <v>69</v>
      </c>
      <c r="O34" t="s">
        <v>69</v>
      </c>
      <c r="P34" t="s">
        <v>68</v>
      </c>
      <c r="Q34" t="s">
        <v>68</v>
      </c>
      <c r="R34" t="s">
        <v>69</v>
      </c>
      <c r="S34" s="8">
        <f t="shared" ref="S34:S65" si="5">COUNTIF(M34:R34, "Yes")</f>
        <v>2</v>
      </c>
      <c r="T34" s="8">
        <v>0</v>
      </c>
      <c r="U34" s="8">
        <f t="shared" ref="U34:U65" si="6">(COUNTIF(M34:R34, "Yes")/6)*100</f>
        <v>33.333333333333329</v>
      </c>
      <c r="W34" t="s">
        <v>68</v>
      </c>
      <c r="X34" t="s">
        <v>69</v>
      </c>
      <c r="Y34" t="s">
        <v>68</v>
      </c>
      <c r="Z34" t="s">
        <v>69</v>
      </c>
      <c r="AA34" t="s">
        <v>69</v>
      </c>
      <c r="AB34" t="s">
        <v>69</v>
      </c>
      <c r="AC34" t="s">
        <v>69</v>
      </c>
      <c r="AD34" t="s">
        <v>69</v>
      </c>
      <c r="AE34" t="s">
        <v>69</v>
      </c>
      <c r="AF34" t="s">
        <v>69</v>
      </c>
      <c r="AG34" t="s">
        <v>69</v>
      </c>
      <c r="AH34" t="s">
        <v>69</v>
      </c>
      <c r="AI34" t="s">
        <v>69</v>
      </c>
      <c r="AJ34" t="s">
        <v>69</v>
      </c>
      <c r="AK34" t="s">
        <v>69</v>
      </c>
      <c r="AL34" t="s">
        <v>69</v>
      </c>
      <c r="AM34" t="s">
        <v>69</v>
      </c>
      <c r="AN34" t="s">
        <v>69</v>
      </c>
      <c r="AO34" t="s">
        <v>69</v>
      </c>
      <c r="AP34" t="s">
        <v>68</v>
      </c>
      <c r="AQ34" t="s">
        <v>69</v>
      </c>
      <c r="AR34" t="s">
        <v>69</v>
      </c>
      <c r="AS34" t="s">
        <v>69</v>
      </c>
      <c r="AT34" t="s">
        <v>69</v>
      </c>
      <c r="AU34" t="s">
        <v>69</v>
      </c>
      <c r="AV34" t="s">
        <v>68</v>
      </c>
      <c r="AW34" t="s">
        <v>68</v>
      </c>
      <c r="AX34" t="s">
        <v>69</v>
      </c>
      <c r="AY34" t="s">
        <v>69</v>
      </c>
      <c r="AZ34" t="s">
        <v>69</v>
      </c>
      <c r="BA34" t="s">
        <v>69</v>
      </c>
      <c r="BB34">
        <f>((COUNTIF(W34:AB34, "Yes") + COUNTIF(AC34:AH34, "Yes") + COUNTIF(AI34:AO34, "Yes") + COUNTIF(AP34:AW34, "Yes") + COUNTIF(AX34:BA34, "Yes")) / 31) *100</f>
        <v>16.129032258064516</v>
      </c>
      <c r="BC34">
        <f>COUNTIF(W34:AB34, "Yes") + COUNTIF(AC34:AH34, "Yes") + COUNTIF(AI34:AO34, "Yes") + COUNTIF(AP34:AW34, "Yes") + COUNTIF(AX34:BA34, "Yes")</f>
        <v>5</v>
      </c>
      <c r="BD34" t="str">
        <f t="shared" ref="BD34:BD55" si="7">IF(BB34 &lt;= 33, "Low", IF(BB34 &lt;= 66, "Moderate", "High"))</f>
        <v>Low</v>
      </c>
      <c r="BE34" t="s">
        <v>76</v>
      </c>
      <c r="BF34" s="13" t="s">
        <v>83</v>
      </c>
      <c r="BG34" s="9">
        <v>2023</v>
      </c>
      <c r="BH34" s="10" t="s">
        <v>72</v>
      </c>
      <c r="BJ34" t="s">
        <v>85</v>
      </c>
    </row>
    <row r="35" spans="1:63" x14ac:dyDescent="0.35">
      <c r="A35" t="s">
        <v>262</v>
      </c>
      <c r="B35">
        <v>50.857326</v>
      </c>
      <c r="C35">
        <v>10.562830999999999</v>
      </c>
      <c r="D35" s="8">
        <v>7251</v>
      </c>
      <c r="E35" s="8" t="str">
        <f t="shared" si="4"/>
        <v>Large</v>
      </c>
      <c r="F35" t="s">
        <v>63</v>
      </c>
      <c r="G35" t="s">
        <v>163</v>
      </c>
      <c r="H35">
        <v>2021</v>
      </c>
      <c r="I35" t="s">
        <v>82</v>
      </c>
      <c r="J35" t="s">
        <v>75</v>
      </c>
      <c r="L35" t="s">
        <v>105</v>
      </c>
      <c r="M35" t="s">
        <v>68</v>
      </c>
      <c r="N35" t="s">
        <v>68</v>
      </c>
      <c r="O35" t="s">
        <v>68</v>
      </c>
      <c r="P35" t="s">
        <v>69</v>
      </c>
      <c r="Q35" t="s">
        <v>69</v>
      </c>
      <c r="R35" t="s">
        <v>69</v>
      </c>
      <c r="S35" s="8">
        <f t="shared" si="5"/>
        <v>3</v>
      </c>
      <c r="T35" s="8">
        <v>0</v>
      </c>
      <c r="U35" s="8">
        <f t="shared" si="6"/>
        <v>50</v>
      </c>
      <c r="W35" t="s">
        <v>69</v>
      </c>
      <c r="X35" t="s">
        <v>69</v>
      </c>
      <c r="Y35" t="s">
        <v>68</v>
      </c>
      <c r="Z35" t="s">
        <v>68</v>
      </c>
      <c r="AA35" t="s">
        <v>69</v>
      </c>
      <c r="AB35" t="s">
        <v>69</v>
      </c>
      <c r="AC35" t="s">
        <v>69</v>
      </c>
      <c r="AD35" t="s">
        <v>69</v>
      </c>
      <c r="AE35" t="s">
        <v>69</v>
      </c>
      <c r="AF35" t="s">
        <v>68</v>
      </c>
      <c r="AG35" t="s">
        <v>69</v>
      </c>
      <c r="AH35" t="s">
        <v>68</v>
      </c>
      <c r="AI35" t="s">
        <v>68</v>
      </c>
      <c r="AJ35" t="s">
        <v>68</v>
      </c>
      <c r="AK35" t="s">
        <v>68</v>
      </c>
      <c r="AL35" t="s">
        <v>69</v>
      </c>
      <c r="AM35" t="s">
        <v>69</v>
      </c>
      <c r="AN35" t="s">
        <v>69</v>
      </c>
      <c r="AO35" t="s">
        <v>69</v>
      </c>
      <c r="AP35" t="s">
        <v>68</v>
      </c>
      <c r="AQ35" t="s">
        <v>69</v>
      </c>
      <c r="AR35" t="s">
        <v>68</v>
      </c>
      <c r="AS35" t="s">
        <v>68</v>
      </c>
      <c r="AT35" t="s">
        <v>69</v>
      </c>
      <c r="AU35" t="s">
        <v>69</v>
      </c>
      <c r="AV35" t="s">
        <v>68</v>
      </c>
      <c r="AW35" t="s">
        <v>69</v>
      </c>
      <c r="AX35" t="s">
        <v>69</v>
      </c>
      <c r="AY35" t="s">
        <v>69</v>
      </c>
      <c r="AZ35" t="s">
        <v>69</v>
      </c>
      <c r="BA35" t="s">
        <v>69</v>
      </c>
      <c r="BB35">
        <f>((COUNTIF(W35:AB35, "Yes") + COUNTIF(AC35:AH35, "Yes") + COUNTIF(AI35:AO35, "Yes") + COUNTIF(AP35:AW35, "Yes") + COUNTIF(AX35:BA35, "Yes")) / 31) *100</f>
        <v>35.483870967741936</v>
      </c>
      <c r="BC35">
        <f>COUNTIF(W35:AB35, "Yes") + COUNTIF(AC35:AH35, "Yes") + COUNTIF(AI35:AO35, "Yes") + COUNTIF(AP35:AW35, "Yes") + COUNTIF(AX35:BA35, "Yes")</f>
        <v>11</v>
      </c>
      <c r="BD35" t="str">
        <f t="shared" si="7"/>
        <v>Moderate</v>
      </c>
      <c r="BE35" t="s">
        <v>89</v>
      </c>
      <c r="BF35" s="13" t="s">
        <v>72</v>
      </c>
      <c r="BG35" s="9">
        <v>2018</v>
      </c>
      <c r="BH35" s="10" t="s">
        <v>84</v>
      </c>
      <c r="BJ35" t="s">
        <v>85</v>
      </c>
    </row>
    <row r="36" spans="1:63" x14ac:dyDescent="0.35">
      <c r="A36" t="s">
        <v>86</v>
      </c>
      <c r="B36">
        <v>22.363888888888798</v>
      </c>
      <c r="C36">
        <v>114.375</v>
      </c>
      <c r="D36" s="8">
        <v>150</v>
      </c>
      <c r="E36" s="8" t="str">
        <f t="shared" si="4"/>
        <v>Small</v>
      </c>
      <c r="F36" t="s">
        <v>80</v>
      </c>
      <c r="G36" t="s">
        <v>81</v>
      </c>
      <c r="H36">
        <v>2011</v>
      </c>
      <c r="I36" t="s">
        <v>87</v>
      </c>
      <c r="J36" t="s">
        <v>66</v>
      </c>
      <c r="L36" t="s">
        <v>88</v>
      </c>
      <c r="M36" t="s">
        <v>68</v>
      </c>
      <c r="N36" t="s">
        <v>69</v>
      </c>
      <c r="O36" t="s">
        <v>69</v>
      </c>
      <c r="P36" t="s">
        <v>69</v>
      </c>
      <c r="Q36" t="s">
        <v>68</v>
      </c>
      <c r="R36" t="s">
        <v>69</v>
      </c>
      <c r="S36" s="8">
        <f t="shared" si="5"/>
        <v>2</v>
      </c>
      <c r="T36" s="8">
        <v>0</v>
      </c>
      <c r="U36" s="8">
        <f t="shared" si="6"/>
        <v>33.333333333333329</v>
      </c>
      <c r="W36" t="s">
        <v>69</v>
      </c>
      <c r="X36" t="s">
        <v>69</v>
      </c>
      <c r="Y36" t="s">
        <v>69</v>
      </c>
      <c r="Z36" t="s">
        <v>69</v>
      </c>
      <c r="AA36" t="s">
        <v>69</v>
      </c>
      <c r="AB36" t="s">
        <v>69</v>
      </c>
      <c r="AC36" t="s">
        <v>69</v>
      </c>
      <c r="AD36" t="s">
        <v>69</v>
      </c>
      <c r="AE36" t="s">
        <v>69</v>
      </c>
      <c r="AF36" t="s">
        <v>69</v>
      </c>
      <c r="AG36" t="s">
        <v>69</v>
      </c>
      <c r="AH36" t="s">
        <v>69</v>
      </c>
      <c r="AI36" t="s">
        <v>69</v>
      </c>
      <c r="AJ36" t="s">
        <v>69</v>
      </c>
      <c r="AK36" t="s">
        <v>69</v>
      </c>
      <c r="AL36" t="s">
        <v>69</v>
      </c>
      <c r="AM36" t="s">
        <v>69</v>
      </c>
      <c r="AN36" t="s">
        <v>69</v>
      </c>
      <c r="AO36" t="s">
        <v>69</v>
      </c>
      <c r="AP36" t="s">
        <v>68</v>
      </c>
      <c r="AQ36" t="s">
        <v>69</v>
      </c>
      <c r="AR36" t="s">
        <v>69</v>
      </c>
      <c r="AS36" t="s">
        <v>69</v>
      </c>
      <c r="AT36" t="s">
        <v>69</v>
      </c>
      <c r="AU36" t="s">
        <v>69</v>
      </c>
      <c r="AV36" t="s">
        <v>69</v>
      </c>
      <c r="AW36" t="s">
        <v>69</v>
      </c>
      <c r="AX36" t="s">
        <v>69</v>
      </c>
      <c r="AY36" t="s">
        <v>69</v>
      </c>
      <c r="AZ36" t="s">
        <v>69</v>
      </c>
      <c r="BA36" t="s">
        <v>69</v>
      </c>
      <c r="BB36">
        <f>((COUNTIF(W36:AB36, "Yes") + COUNTIF(AC36:AH36, "Yes") + COUNTIF(AI36:AO36, "Yes") + COUNTIF(AP36:AW36, "Yes") + COUNTIF(AX36:BA36, "Yes")) / 31) *100</f>
        <v>3.225806451612903</v>
      </c>
      <c r="BC36">
        <f>COUNTIF(W36:AB36, "Yes") + COUNTIF(AC36:AH36, "Yes") + COUNTIF(AI36:AO36, "Yes") + COUNTIF(AP36:AW36, "Yes") + COUNTIF(AX36:BA36, "Yes")</f>
        <v>1</v>
      </c>
      <c r="BD36" t="str">
        <f t="shared" si="7"/>
        <v>Low</v>
      </c>
      <c r="BE36" t="s">
        <v>76</v>
      </c>
      <c r="BF36" s="13" t="s">
        <v>77</v>
      </c>
      <c r="BG36" s="9">
        <v>2023</v>
      </c>
      <c r="BH36" s="10" t="s">
        <v>72</v>
      </c>
      <c r="BJ36" t="s">
        <v>85</v>
      </c>
    </row>
    <row r="37" spans="1:63" x14ac:dyDescent="0.35">
      <c r="A37" t="s">
        <v>124</v>
      </c>
      <c r="B37">
        <v>51.570277777777697</v>
      </c>
      <c r="C37">
        <v>14.726388888888801</v>
      </c>
      <c r="D37" s="8">
        <v>578.79999999999995</v>
      </c>
      <c r="E37" s="8" t="str">
        <f t="shared" si="4"/>
        <v>Small</v>
      </c>
      <c r="F37" t="s">
        <v>63</v>
      </c>
      <c r="G37" t="s">
        <v>125</v>
      </c>
      <c r="H37">
        <v>2011</v>
      </c>
      <c r="I37" t="s">
        <v>87</v>
      </c>
      <c r="J37" t="s">
        <v>75</v>
      </c>
      <c r="L37" t="s">
        <v>88</v>
      </c>
      <c r="M37" t="s">
        <v>68</v>
      </c>
      <c r="N37" t="s">
        <v>69</v>
      </c>
      <c r="O37" t="s">
        <v>69</v>
      </c>
      <c r="P37" t="s">
        <v>68</v>
      </c>
      <c r="Q37" t="s">
        <v>68</v>
      </c>
      <c r="R37" t="s">
        <v>68</v>
      </c>
      <c r="S37" s="8">
        <f t="shared" si="5"/>
        <v>4</v>
      </c>
      <c r="T37" s="8">
        <v>0</v>
      </c>
      <c r="U37" s="8">
        <f t="shared" si="6"/>
        <v>66.666666666666657</v>
      </c>
      <c r="W37" t="s">
        <v>68</v>
      </c>
      <c r="X37" t="s">
        <v>69</v>
      </c>
      <c r="Y37" t="s">
        <v>69</v>
      </c>
      <c r="Z37" t="s">
        <v>68</v>
      </c>
      <c r="AA37" t="s">
        <v>69</v>
      </c>
      <c r="AB37" t="s">
        <v>69</v>
      </c>
      <c r="AC37" t="s">
        <v>69</v>
      </c>
      <c r="AD37" t="s">
        <v>69</v>
      </c>
      <c r="AE37" t="s">
        <v>69</v>
      </c>
      <c r="AF37" t="s">
        <v>69</v>
      </c>
      <c r="AG37" t="s">
        <v>69</v>
      </c>
      <c r="AH37" t="s">
        <v>69</v>
      </c>
      <c r="AI37" t="s">
        <v>69</v>
      </c>
      <c r="AJ37" t="s">
        <v>68</v>
      </c>
      <c r="AK37" t="s">
        <v>68</v>
      </c>
      <c r="AL37" t="s">
        <v>69</v>
      </c>
      <c r="AM37" t="s">
        <v>68</v>
      </c>
      <c r="AN37" t="s">
        <v>69</v>
      </c>
      <c r="AO37" t="s">
        <v>69</v>
      </c>
      <c r="AP37" t="s">
        <v>68</v>
      </c>
      <c r="AQ37" t="s">
        <v>69</v>
      </c>
      <c r="AR37" t="s">
        <v>68</v>
      </c>
      <c r="AS37" t="s">
        <v>68</v>
      </c>
      <c r="AT37" t="s">
        <v>69</v>
      </c>
      <c r="AU37" t="s">
        <v>69</v>
      </c>
      <c r="AV37" t="s">
        <v>69</v>
      </c>
      <c r="AW37" t="s">
        <v>69</v>
      </c>
      <c r="AX37" t="s">
        <v>69</v>
      </c>
      <c r="AY37" t="s">
        <v>69</v>
      </c>
      <c r="AZ37" t="s">
        <v>69</v>
      </c>
      <c r="BA37" t="s">
        <v>68</v>
      </c>
      <c r="BB37">
        <f>((COUNTIF(W37:AB37, "Yes") + COUNTIF(AC37:AH37, "Yes") + COUNTIF(AI37:AO37, "Yes") + COUNTIF(AP37:AW37, "Yes") + COUNTIF(AX37:BA37, "Yes")) / 31) *100</f>
        <v>29.032258064516132</v>
      </c>
      <c r="BC37">
        <f>COUNTIF(W37:AB37, "Yes") + COUNTIF(AC37:AH37, "Yes") + COUNTIF(AI37:AO37, "Yes") + COUNTIF(AP37:AW37, "Yes") + COUNTIF(AX37:BA37, "Yes")</f>
        <v>9</v>
      </c>
      <c r="BD37" t="str">
        <f t="shared" si="7"/>
        <v>Low</v>
      </c>
      <c r="BE37" t="s">
        <v>76</v>
      </c>
      <c r="BF37" s="13" t="s">
        <v>83</v>
      </c>
      <c r="BG37" s="9">
        <v>2023</v>
      </c>
      <c r="BH37" s="10" t="s">
        <v>72</v>
      </c>
      <c r="BJ37" t="s">
        <v>85</v>
      </c>
    </row>
    <row r="38" spans="1:63" x14ac:dyDescent="0.35">
      <c r="A38" t="s">
        <v>142</v>
      </c>
      <c r="B38">
        <v>13.550277777777699</v>
      </c>
      <c r="C38">
        <v>-86.580199999999905</v>
      </c>
      <c r="D38" s="8">
        <v>954</v>
      </c>
      <c r="E38" s="8" t="str">
        <f t="shared" si="4"/>
        <v>Small</v>
      </c>
      <c r="F38" t="s">
        <v>114</v>
      </c>
      <c r="G38" t="s">
        <v>143</v>
      </c>
      <c r="H38">
        <v>2020</v>
      </c>
      <c r="I38" t="s">
        <v>82</v>
      </c>
      <c r="J38" t="s">
        <v>66</v>
      </c>
      <c r="L38" t="s">
        <v>88</v>
      </c>
      <c r="M38" t="s">
        <v>69</v>
      </c>
      <c r="N38" t="s">
        <v>69</v>
      </c>
      <c r="O38" t="s">
        <v>69</v>
      </c>
      <c r="P38" t="s">
        <v>68</v>
      </c>
      <c r="Q38" t="s">
        <v>68</v>
      </c>
      <c r="R38" t="s">
        <v>69</v>
      </c>
      <c r="S38" s="8">
        <f t="shared" si="5"/>
        <v>2</v>
      </c>
      <c r="T38" s="8">
        <v>0</v>
      </c>
      <c r="U38" s="8">
        <f t="shared" si="6"/>
        <v>33.333333333333329</v>
      </c>
      <c r="W38" t="s">
        <v>69</v>
      </c>
      <c r="X38" t="s">
        <v>69</v>
      </c>
      <c r="Y38" t="s">
        <v>68</v>
      </c>
      <c r="Z38" t="s">
        <v>69</v>
      </c>
      <c r="AA38" t="s">
        <v>69</v>
      </c>
      <c r="AB38" t="s">
        <v>69</v>
      </c>
      <c r="AC38" t="s">
        <v>69</v>
      </c>
      <c r="AD38" t="s">
        <v>69</v>
      </c>
      <c r="AE38" t="s">
        <v>68</v>
      </c>
      <c r="AF38" t="s">
        <v>69</v>
      </c>
      <c r="AG38" t="s">
        <v>69</v>
      </c>
      <c r="AH38" t="s">
        <v>69</v>
      </c>
      <c r="AI38" t="s">
        <v>69</v>
      </c>
      <c r="AJ38" t="s">
        <v>69</v>
      </c>
      <c r="AK38" t="s">
        <v>69</v>
      </c>
      <c r="AL38" t="s">
        <v>68</v>
      </c>
      <c r="AM38" t="s">
        <v>69</v>
      </c>
      <c r="AN38" t="s">
        <v>69</v>
      </c>
      <c r="AO38" t="s">
        <v>69</v>
      </c>
      <c r="AP38" t="s">
        <v>68</v>
      </c>
      <c r="AQ38" t="s">
        <v>68</v>
      </c>
      <c r="AR38" t="s">
        <v>69</v>
      </c>
      <c r="AS38" t="s">
        <v>69</v>
      </c>
      <c r="AT38" t="s">
        <v>69</v>
      </c>
      <c r="AU38" t="s">
        <v>69</v>
      </c>
      <c r="AV38" t="s">
        <v>68</v>
      </c>
      <c r="AW38" t="s">
        <v>69</v>
      </c>
      <c r="AX38" t="s">
        <v>69</v>
      </c>
      <c r="AY38" t="s">
        <v>69</v>
      </c>
      <c r="AZ38" t="s">
        <v>68</v>
      </c>
      <c r="BA38" t="s">
        <v>69</v>
      </c>
      <c r="BB38">
        <f>((COUNTIF(W38:AB38, "Yes") + COUNTIF(AC38:AH38, "Yes") + COUNTIF(AI38:AO38, "Yes") + COUNTIF(AP38:AW38, "Yes") + COUNTIF(AX38:BA38, "Yes")) / 31) *100</f>
        <v>22.58064516129032</v>
      </c>
      <c r="BC38">
        <f>COUNTIF(W38:AB38, "Yes") + COUNTIF(AC38:AH38, "Yes") + COUNTIF(AI38:AO38, "Yes") + COUNTIF(AP38:AW38, "Yes") + COUNTIF(AX38:BA38, "Yes")</f>
        <v>7</v>
      </c>
      <c r="BD38" t="str">
        <f t="shared" si="7"/>
        <v>Low</v>
      </c>
      <c r="BE38" t="s">
        <v>76</v>
      </c>
      <c r="BF38" s="13" t="s">
        <v>83</v>
      </c>
      <c r="BG38" s="9">
        <v>2022</v>
      </c>
      <c r="BH38" s="10" t="s">
        <v>72</v>
      </c>
      <c r="BJ38" t="s">
        <v>85</v>
      </c>
    </row>
    <row r="39" spans="1:63" x14ac:dyDescent="0.35">
      <c r="A39" t="s">
        <v>139</v>
      </c>
      <c r="B39">
        <v>38.140833333333298</v>
      </c>
      <c r="C39">
        <v>20.655833333333302</v>
      </c>
      <c r="D39" s="8">
        <v>773</v>
      </c>
      <c r="E39" s="8" t="str">
        <f t="shared" si="4"/>
        <v>Small</v>
      </c>
      <c r="F39" t="s">
        <v>63</v>
      </c>
      <c r="G39" t="s">
        <v>119</v>
      </c>
      <c r="H39">
        <v>2022</v>
      </c>
      <c r="I39" t="s">
        <v>82</v>
      </c>
      <c r="J39" t="s">
        <v>66</v>
      </c>
      <c r="L39" t="s">
        <v>88</v>
      </c>
      <c r="M39" t="s">
        <v>68</v>
      </c>
      <c r="N39" t="s">
        <v>69</v>
      </c>
      <c r="O39" t="s">
        <v>69</v>
      </c>
      <c r="P39" t="s">
        <v>68</v>
      </c>
      <c r="Q39" t="s">
        <v>68</v>
      </c>
      <c r="R39" t="s">
        <v>68</v>
      </c>
      <c r="S39" s="8">
        <f t="shared" si="5"/>
        <v>4</v>
      </c>
      <c r="T39" s="8">
        <v>0</v>
      </c>
      <c r="U39" s="8">
        <f t="shared" si="6"/>
        <v>66.666666666666657</v>
      </c>
      <c r="W39" t="s">
        <v>68</v>
      </c>
      <c r="X39" t="s">
        <v>69</v>
      </c>
      <c r="Y39" t="s">
        <v>68</v>
      </c>
      <c r="Z39" t="s">
        <v>68</v>
      </c>
      <c r="AA39" t="s">
        <v>68</v>
      </c>
      <c r="AB39" t="s">
        <v>69</v>
      </c>
      <c r="AC39" t="s">
        <v>68</v>
      </c>
      <c r="AD39" t="s">
        <v>69</v>
      </c>
      <c r="AE39" t="s">
        <v>69</v>
      </c>
      <c r="AF39" t="s">
        <v>68</v>
      </c>
      <c r="AG39" t="s">
        <v>69</v>
      </c>
      <c r="AH39" t="s">
        <v>68</v>
      </c>
      <c r="AI39" t="s">
        <v>69</v>
      </c>
      <c r="AJ39" t="s">
        <v>68</v>
      </c>
      <c r="AK39" t="s">
        <v>68</v>
      </c>
      <c r="AL39" t="s">
        <v>69</v>
      </c>
      <c r="AM39" t="s">
        <v>68</v>
      </c>
      <c r="AN39" t="s">
        <v>69</v>
      </c>
      <c r="AO39" t="s">
        <v>69</v>
      </c>
      <c r="AP39" t="s">
        <v>68</v>
      </c>
      <c r="AQ39" t="s">
        <v>69</v>
      </c>
      <c r="AR39" t="s">
        <v>69</v>
      </c>
      <c r="AS39" t="s">
        <v>68</v>
      </c>
      <c r="AT39" t="s">
        <v>68</v>
      </c>
      <c r="AU39" t="s">
        <v>69</v>
      </c>
      <c r="AV39" t="s">
        <v>69</v>
      </c>
      <c r="AW39" t="s">
        <v>68</v>
      </c>
      <c r="AX39" t="s">
        <v>69</v>
      </c>
      <c r="AY39" t="s">
        <v>69</v>
      </c>
      <c r="AZ39" t="s">
        <v>69</v>
      </c>
      <c r="BA39" t="s">
        <v>68</v>
      </c>
      <c r="BB39">
        <f>((COUNTIF(W39:AB39, "Yes") + COUNTIF(AC39:AH39, "Yes") + COUNTIF(AI39:AO39, "Yes") + COUNTIF(AP39:AW39, "Yes") + COUNTIF(AX39:BA39, "Yes")) / 31) *100</f>
        <v>48.387096774193552</v>
      </c>
      <c r="BC39">
        <f>COUNTIF(W39:AB39, "Yes") + COUNTIF(AC39:AH39, "Yes") + COUNTIF(AI39:AO39, "Yes") + COUNTIF(AP39:AW39, "Yes") + COUNTIF(AX39:BA39, "Yes")</f>
        <v>15</v>
      </c>
      <c r="BD39" t="str">
        <f t="shared" si="7"/>
        <v>Moderate</v>
      </c>
      <c r="BE39" t="s">
        <v>76</v>
      </c>
      <c r="BF39" s="13" t="s">
        <v>98</v>
      </c>
      <c r="BG39" s="9">
        <v>2022</v>
      </c>
      <c r="BH39" s="10" t="s">
        <v>72</v>
      </c>
      <c r="BJ39" t="s">
        <v>85</v>
      </c>
    </row>
    <row r="40" spans="1:63" x14ac:dyDescent="0.35">
      <c r="A40" t="s">
        <v>162</v>
      </c>
      <c r="B40">
        <v>50.206666666666599</v>
      </c>
      <c r="C40">
        <v>6.8361111111111104</v>
      </c>
      <c r="D40" s="8">
        <v>1220</v>
      </c>
      <c r="E40" s="8" t="str">
        <f t="shared" si="4"/>
        <v>Medium</v>
      </c>
      <c r="F40" t="s">
        <v>63</v>
      </c>
      <c r="G40" t="s">
        <v>163</v>
      </c>
      <c r="H40">
        <v>2004</v>
      </c>
      <c r="I40" t="s">
        <v>65</v>
      </c>
      <c r="J40" t="s">
        <v>66</v>
      </c>
      <c r="L40" t="s">
        <v>88</v>
      </c>
      <c r="M40" t="s">
        <v>69</v>
      </c>
      <c r="N40" t="s">
        <v>69</v>
      </c>
      <c r="O40" t="s">
        <v>68</v>
      </c>
      <c r="P40" t="s">
        <v>68</v>
      </c>
      <c r="Q40" t="s">
        <v>68</v>
      </c>
      <c r="R40" t="s">
        <v>69</v>
      </c>
      <c r="S40" s="8">
        <f t="shared" si="5"/>
        <v>3</v>
      </c>
      <c r="T40" s="8">
        <v>0</v>
      </c>
      <c r="U40" s="8">
        <f t="shared" si="6"/>
        <v>50</v>
      </c>
      <c r="W40" t="s">
        <v>68</v>
      </c>
      <c r="X40" t="s">
        <v>69</v>
      </c>
      <c r="Y40" t="s">
        <v>68</v>
      </c>
      <c r="Z40" t="s">
        <v>69</v>
      </c>
      <c r="AA40" t="s">
        <v>69</v>
      </c>
      <c r="AB40" t="s">
        <v>69</v>
      </c>
      <c r="AC40" t="s">
        <v>69</v>
      </c>
      <c r="AD40" t="s">
        <v>69</v>
      </c>
      <c r="AE40" t="s">
        <v>68</v>
      </c>
      <c r="AF40" t="s">
        <v>68</v>
      </c>
      <c r="AG40" t="s">
        <v>68</v>
      </c>
      <c r="AH40" t="s">
        <v>68</v>
      </c>
      <c r="AI40" t="s">
        <v>68</v>
      </c>
      <c r="AJ40" t="s">
        <v>69</v>
      </c>
      <c r="AK40" t="s">
        <v>69</v>
      </c>
      <c r="AL40" t="s">
        <v>68</v>
      </c>
      <c r="AM40" t="s">
        <v>69</v>
      </c>
      <c r="AN40" t="s">
        <v>68</v>
      </c>
      <c r="AO40" t="s">
        <v>69</v>
      </c>
      <c r="AP40" t="s">
        <v>68</v>
      </c>
      <c r="AQ40" t="s">
        <v>68</v>
      </c>
      <c r="AR40" t="s">
        <v>69</v>
      </c>
      <c r="AS40" t="s">
        <v>68</v>
      </c>
      <c r="AT40" t="s">
        <v>68</v>
      </c>
      <c r="AU40" t="s">
        <v>69</v>
      </c>
      <c r="AV40" t="s">
        <v>68</v>
      </c>
      <c r="AW40" t="s">
        <v>69</v>
      </c>
      <c r="AX40" t="s">
        <v>69</v>
      </c>
      <c r="AY40" t="s">
        <v>68</v>
      </c>
      <c r="AZ40" t="s">
        <v>69</v>
      </c>
      <c r="BA40" t="s">
        <v>68</v>
      </c>
      <c r="BB40">
        <f>((COUNTIF(W40:AB40, "Yes") + COUNTIF(AC40:AH40, "Yes") + COUNTIF(AI40:AO40, "Yes") + COUNTIF(AP40:AW40, "Yes") + COUNTIF(AX40:BA40, "Yes")) / 31) *100</f>
        <v>51.612903225806448</v>
      </c>
      <c r="BC40">
        <f>COUNTIF(W40:AB40, "Yes") + COUNTIF(AC40:AH40, "Yes") + COUNTIF(AI40:AO40, "Yes") + COUNTIF(AP40:AW40, "Yes") + COUNTIF(AX40:BA40, "Yes")</f>
        <v>16</v>
      </c>
      <c r="BD40" t="str">
        <f t="shared" si="7"/>
        <v>Moderate</v>
      </c>
      <c r="BE40" t="s">
        <v>76</v>
      </c>
      <c r="BF40" s="13" t="s">
        <v>77</v>
      </c>
      <c r="BG40" s="9">
        <v>2021</v>
      </c>
      <c r="BH40" s="10" t="s">
        <v>93</v>
      </c>
      <c r="BJ40" t="s">
        <v>85</v>
      </c>
    </row>
    <row r="41" spans="1:63" x14ac:dyDescent="0.35">
      <c r="A41" t="s">
        <v>230</v>
      </c>
      <c r="B41">
        <v>-33.278888888888801</v>
      </c>
      <c r="C41">
        <v>-57.145555555555497</v>
      </c>
      <c r="D41" s="8">
        <v>3611</v>
      </c>
      <c r="E41" s="8" t="str">
        <f t="shared" si="4"/>
        <v>Medium</v>
      </c>
      <c r="F41" t="s">
        <v>114</v>
      </c>
      <c r="G41" t="s">
        <v>231</v>
      </c>
      <c r="H41">
        <v>2013</v>
      </c>
      <c r="I41" t="s">
        <v>87</v>
      </c>
      <c r="J41" t="s">
        <v>66</v>
      </c>
      <c r="L41" t="s">
        <v>88</v>
      </c>
      <c r="M41" t="s">
        <v>69</v>
      </c>
      <c r="N41" t="s">
        <v>69</v>
      </c>
      <c r="O41" t="s">
        <v>69</v>
      </c>
      <c r="P41" t="s">
        <v>69</v>
      </c>
      <c r="Q41" t="s">
        <v>68</v>
      </c>
      <c r="R41" t="s">
        <v>69</v>
      </c>
      <c r="S41" s="8">
        <f t="shared" si="5"/>
        <v>1</v>
      </c>
      <c r="T41" s="8">
        <v>0</v>
      </c>
      <c r="U41" s="8">
        <f t="shared" si="6"/>
        <v>16.666666666666664</v>
      </c>
      <c r="V41" t="s">
        <v>232</v>
      </c>
      <c r="W41" t="s">
        <v>68</v>
      </c>
      <c r="X41" t="s">
        <v>69</v>
      </c>
      <c r="Y41" t="s">
        <v>68</v>
      </c>
      <c r="Z41" t="s">
        <v>68</v>
      </c>
      <c r="AA41" t="s">
        <v>69</v>
      </c>
      <c r="AB41" t="s">
        <v>69</v>
      </c>
      <c r="AC41" t="s">
        <v>68</v>
      </c>
      <c r="AD41" t="s">
        <v>69</v>
      </c>
      <c r="AE41" t="s">
        <v>69</v>
      </c>
      <c r="AF41" t="s">
        <v>69</v>
      </c>
      <c r="AG41" t="s">
        <v>68</v>
      </c>
      <c r="AH41" t="s">
        <v>68</v>
      </c>
      <c r="AI41" t="s">
        <v>69</v>
      </c>
      <c r="AJ41" t="s">
        <v>69</v>
      </c>
      <c r="AK41" t="s">
        <v>68</v>
      </c>
      <c r="AL41" t="s">
        <v>68</v>
      </c>
      <c r="AM41" t="s">
        <v>69</v>
      </c>
      <c r="AN41" t="s">
        <v>69</v>
      </c>
      <c r="AO41" t="s">
        <v>68</v>
      </c>
      <c r="AP41" t="s">
        <v>69</v>
      </c>
      <c r="AQ41" t="s">
        <v>69</v>
      </c>
      <c r="AR41" t="s">
        <v>68</v>
      </c>
      <c r="AS41" t="s">
        <v>69</v>
      </c>
      <c r="AT41" t="s">
        <v>68</v>
      </c>
      <c r="AU41" t="s">
        <v>69</v>
      </c>
      <c r="AV41" t="s">
        <v>68</v>
      </c>
      <c r="AW41" t="s">
        <v>69</v>
      </c>
      <c r="AX41" t="s">
        <v>68</v>
      </c>
      <c r="AY41" t="s">
        <v>69</v>
      </c>
      <c r="AZ41" t="s">
        <v>68</v>
      </c>
      <c r="BA41" t="s">
        <v>69</v>
      </c>
      <c r="BB41">
        <f>((COUNTIF(W41:AB41, "Yes") + COUNTIF(AC41:AH41, "Yes") + COUNTIF(AI41:AO41, "Yes") + COUNTIF(AP41:AW41, "Yes") + COUNTIF(AX41:BA41, "Yes")) / 31) *100</f>
        <v>45.161290322580641</v>
      </c>
      <c r="BC41">
        <f>COUNTIF(W41:AB41, "Yes") + COUNTIF(AC41:AH41, "Yes") + COUNTIF(AI41:AO41, "Yes") + COUNTIF(AP41:AW41, "Yes") + COUNTIF(AX41:BA41, "Yes")</f>
        <v>14</v>
      </c>
      <c r="BD41" t="str">
        <f t="shared" si="7"/>
        <v>Moderate</v>
      </c>
      <c r="BE41" t="s">
        <v>76</v>
      </c>
      <c r="BF41" s="13" t="s">
        <v>72</v>
      </c>
      <c r="BG41" s="9">
        <v>2023</v>
      </c>
      <c r="BH41" s="10" t="s">
        <v>72</v>
      </c>
      <c r="BJ41" t="s">
        <v>85</v>
      </c>
    </row>
    <row r="42" spans="1:63" x14ac:dyDescent="0.35">
      <c r="A42" t="s">
        <v>62</v>
      </c>
      <c r="B42">
        <v>52.138611111111103</v>
      </c>
      <c r="C42">
        <v>-7.3422222222222198</v>
      </c>
      <c r="D42" s="8">
        <v>50</v>
      </c>
      <c r="E42" s="8" t="str">
        <f t="shared" si="4"/>
        <v>Small</v>
      </c>
      <c r="F42" t="s">
        <v>63</v>
      </c>
      <c r="G42" t="s">
        <v>64</v>
      </c>
      <c r="H42">
        <v>2004</v>
      </c>
      <c r="I42" t="s">
        <v>65</v>
      </c>
      <c r="J42" t="s">
        <v>66</v>
      </c>
      <c r="L42" t="s">
        <v>67</v>
      </c>
      <c r="M42" t="s">
        <v>68</v>
      </c>
      <c r="N42" t="s">
        <v>68</v>
      </c>
      <c r="O42" t="s">
        <v>69</v>
      </c>
      <c r="P42" t="s">
        <v>68</v>
      </c>
      <c r="Q42" t="s">
        <v>68</v>
      </c>
      <c r="R42" t="s">
        <v>69</v>
      </c>
      <c r="S42" s="8">
        <f t="shared" si="5"/>
        <v>4</v>
      </c>
      <c r="T42" s="8">
        <v>0</v>
      </c>
      <c r="U42" s="8">
        <f t="shared" si="6"/>
        <v>66.666666666666657</v>
      </c>
      <c r="W42" t="s">
        <v>70</v>
      </c>
      <c r="X42" t="s">
        <v>70</v>
      </c>
      <c r="Y42" t="s">
        <v>70</v>
      </c>
      <c r="Z42" t="s">
        <v>70</v>
      </c>
      <c r="AA42" t="s">
        <v>70</v>
      </c>
      <c r="AB42" t="s">
        <v>70</v>
      </c>
      <c r="AC42" t="s">
        <v>70</v>
      </c>
      <c r="AD42" t="s">
        <v>70</v>
      </c>
      <c r="AE42" t="s">
        <v>70</v>
      </c>
      <c r="AF42" t="s">
        <v>70</v>
      </c>
      <c r="AG42" t="s">
        <v>70</v>
      </c>
      <c r="AH42" t="s">
        <v>70</v>
      </c>
      <c r="AI42" t="s">
        <v>70</v>
      </c>
      <c r="AJ42" t="s">
        <v>70</v>
      </c>
      <c r="AK42" t="s">
        <v>70</v>
      </c>
      <c r="AL42" t="s">
        <v>70</v>
      </c>
      <c r="AM42" t="s">
        <v>70</v>
      </c>
      <c r="AN42" t="s">
        <v>70</v>
      </c>
      <c r="AO42" t="s">
        <v>70</v>
      </c>
      <c r="AP42" t="s">
        <v>70</v>
      </c>
      <c r="AQ42" t="s">
        <v>70</v>
      </c>
      <c r="AR42" t="s">
        <v>70</v>
      </c>
      <c r="AS42" t="s">
        <v>70</v>
      </c>
      <c r="AT42" t="s">
        <v>70</v>
      </c>
      <c r="AU42" t="s">
        <v>70</v>
      </c>
      <c r="AV42" t="s">
        <v>70</v>
      </c>
      <c r="AW42" t="s">
        <v>70</v>
      </c>
      <c r="AX42" t="s">
        <v>70</v>
      </c>
      <c r="AY42" t="s">
        <v>70</v>
      </c>
      <c r="AZ42" t="s">
        <v>70</v>
      </c>
      <c r="BA42" t="s">
        <v>70</v>
      </c>
      <c r="BB42">
        <f>((COUNTIF(W42:AB42, "Yes") + COUNTIF(AC42:AH42, "Yes") + COUNTIF(AI42:AO42, "Yes") + COUNTIF(AP42:AW42, "Yes") + COUNTIF(AX42:BA42, "Yes")) / 31) *100</f>
        <v>0</v>
      </c>
      <c r="BC42">
        <f>COUNTIF(W42:AB42, "Yes") + COUNTIF(AC42:AH42, "Yes") + COUNTIF(AI42:AO42, "Yes") + COUNTIF(AP42:AW42, "Yes") + COUNTIF(AX42:BA42, "Yes")</f>
        <v>0</v>
      </c>
      <c r="BD42" t="str">
        <f t="shared" si="7"/>
        <v>Low</v>
      </c>
      <c r="BE42" t="s">
        <v>76</v>
      </c>
      <c r="BF42" s="13" t="s">
        <v>83</v>
      </c>
      <c r="BG42" s="9">
        <v>2022</v>
      </c>
      <c r="BH42" s="10" t="s">
        <v>72</v>
      </c>
      <c r="BJ42" t="s">
        <v>85</v>
      </c>
    </row>
    <row r="43" spans="1:63" x14ac:dyDescent="0.35">
      <c r="A43" t="s">
        <v>90</v>
      </c>
      <c r="B43">
        <v>54.258611111111101</v>
      </c>
      <c r="C43">
        <v>-7.5147222222222201</v>
      </c>
      <c r="D43" s="8">
        <v>180</v>
      </c>
      <c r="E43" s="8" t="str">
        <f t="shared" si="4"/>
        <v>Small</v>
      </c>
      <c r="F43" t="s">
        <v>63</v>
      </c>
      <c r="G43" t="s">
        <v>91</v>
      </c>
      <c r="H43">
        <v>2004</v>
      </c>
      <c r="I43" t="s">
        <v>65</v>
      </c>
      <c r="J43" t="s">
        <v>66</v>
      </c>
      <c r="L43" t="s">
        <v>67</v>
      </c>
      <c r="M43" t="s">
        <v>68</v>
      </c>
      <c r="N43" t="s">
        <v>68</v>
      </c>
      <c r="O43" t="s">
        <v>68</v>
      </c>
      <c r="P43" t="s">
        <v>68</v>
      </c>
      <c r="Q43" t="s">
        <v>68</v>
      </c>
      <c r="R43" t="s">
        <v>68</v>
      </c>
      <c r="S43" s="8">
        <f t="shared" si="5"/>
        <v>6</v>
      </c>
      <c r="T43" s="8">
        <v>0</v>
      </c>
      <c r="U43" s="8">
        <f t="shared" si="6"/>
        <v>100</v>
      </c>
      <c r="V43" t="s">
        <v>92</v>
      </c>
      <c r="W43" t="s">
        <v>70</v>
      </c>
      <c r="X43" t="s">
        <v>70</v>
      </c>
      <c r="Y43" t="s">
        <v>70</v>
      </c>
      <c r="Z43" t="s">
        <v>70</v>
      </c>
      <c r="AA43" t="s">
        <v>70</v>
      </c>
      <c r="AB43" t="s">
        <v>70</v>
      </c>
      <c r="AC43" t="s">
        <v>70</v>
      </c>
      <c r="AD43" t="s">
        <v>70</v>
      </c>
      <c r="AE43" t="s">
        <v>70</v>
      </c>
      <c r="AF43" t="s">
        <v>70</v>
      </c>
      <c r="AG43" t="s">
        <v>70</v>
      </c>
      <c r="AH43" t="s">
        <v>70</v>
      </c>
      <c r="AI43" t="s">
        <v>70</v>
      </c>
      <c r="AJ43" t="s">
        <v>70</v>
      </c>
      <c r="AK43" t="s">
        <v>70</v>
      </c>
      <c r="AL43" t="s">
        <v>70</v>
      </c>
      <c r="AM43" t="s">
        <v>70</v>
      </c>
      <c r="AN43" t="s">
        <v>70</v>
      </c>
      <c r="AO43" t="s">
        <v>70</v>
      </c>
      <c r="AP43" t="s">
        <v>70</v>
      </c>
      <c r="AQ43" t="s">
        <v>70</v>
      </c>
      <c r="AR43" t="s">
        <v>70</v>
      </c>
      <c r="AS43" t="s">
        <v>70</v>
      </c>
      <c r="AT43" t="s">
        <v>70</v>
      </c>
      <c r="AU43" t="s">
        <v>70</v>
      </c>
      <c r="AV43" t="s">
        <v>70</v>
      </c>
      <c r="AW43" t="s">
        <v>70</v>
      </c>
      <c r="AX43" t="s">
        <v>70</v>
      </c>
      <c r="AY43" t="s">
        <v>70</v>
      </c>
      <c r="AZ43" t="s">
        <v>70</v>
      </c>
      <c r="BA43" t="s">
        <v>70</v>
      </c>
      <c r="BB43">
        <f>((COUNTIF(W43:AB43, "Yes") + COUNTIF(AC43:AH43, "Yes") + COUNTIF(AI43:AO43, "Yes") + COUNTIF(AP43:AW43, "Yes") + COUNTIF(AX43:BA43, "Yes")) / 31) *100</f>
        <v>0</v>
      </c>
      <c r="BC43">
        <f>COUNTIF(W43:AB43, "Yes") + COUNTIF(AC43:AH43, "Yes") + COUNTIF(AI43:AO43, "Yes") + COUNTIF(AP43:AW43, "Yes") + COUNTIF(AX43:BA43, "Yes")</f>
        <v>0</v>
      </c>
      <c r="BD43" t="str">
        <f t="shared" si="7"/>
        <v>Low</v>
      </c>
      <c r="BE43" t="s">
        <v>89</v>
      </c>
      <c r="BF43" s="13" t="s">
        <v>98</v>
      </c>
      <c r="BG43" s="9">
        <v>2022</v>
      </c>
      <c r="BH43" s="10" t="s">
        <v>72</v>
      </c>
      <c r="BJ43" t="s">
        <v>85</v>
      </c>
    </row>
    <row r="44" spans="1:63" x14ac:dyDescent="0.35">
      <c r="A44" t="s">
        <v>151</v>
      </c>
      <c r="B44">
        <v>35.134166666666601</v>
      </c>
      <c r="C44">
        <v>126.95555555555499</v>
      </c>
      <c r="D44" s="8">
        <v>1051</v>
      </c>
      <c r="E44" s="8" t="str">
        <f t="shared" si="4"/>
        <v>Medium</v>
      </c>
      <c r="F44" t="s">
        <v>80</v>
      </c>
      <c r="G44" t="s">
        <v>152</v>
      </c>
      <c r="H44">
        <v>2018</v>
      </c>
      <c r="I44" t="s">
        <v>82</v>
      </c>
      <c r="J44" t="s">
        <v>66</v>
      </c>
      <c r="L44" t="s">
        <v>67</v>
      </c>
      <c r="M44" t="s">
        <v>69</v>
      </c>
      <c r="N44" t="s">
        <v>69</v>
      </c>
      <c r="O44" t="s">
        <v>69</v>
      </c>
      <c r="P44" t="s">
        <v>69</v>
      </c>
      <c r="Q44" t="s">
        <v>68</v>
      </c>
      <c r="R44" t="s">
        <v>69</v>
      </c>
      <c r="S44" s="8">
        <f t="shared" si="5"/>
        <v>1</v>
      </c>
      <c r="T44" s="8">
        <v>0</v>
      </c>
      <c r="U44" s="8">
        <f t="shared" si="6"/>
        <v>16.666666666666664</v>
      </c>
      <c r="W44" t="s">
        <v>70</v>
      </c>
      <c r="X44" t="s">
        <v>70</v>
      </c>
      <c r="Y44" t="s">
        <v>70</v>
      </c>
      <c r="Z44" t="s">
        <v>70</v>
      </c>
      <c r="AA44" t="s">
        <v>70</v>
      </c>
      <c r="AB44" t="s">
        <v>70</v>
      </c>
      <c r="AC44" t="s">
        <v>70</v>
      </c>
      <c r="AD44" t="s">
        <v>70</v>
      </c>
      <c r="AE44" t="s">
        <v>70</v>
      </c>
      <c r="AF44" t="s">
        <v>70</v>
      </c>
      <c r="AG44" t="s">
        <v>70</v>
      </c>
      <c r="AH44" t="s">
        <v>70</v>
      </c>
      <c r="AI44" t="s">
        <v>70</v>
      </c>
      <c r="AJ44" t="s">
        <v>70</v>
      </c>
      <c r="AK44" t="s">
        <v>70</v>
      </c>
      <c r="AL44" t="s">
        <v>70</v>
      </c>
      <c r="AM44" t="s">
        <v>70</v>
      </c>
      <c r="AN44" t="s">
        <v>70</v>
      </c>
      <c r="AO44" t="s">
        <v>70</v>
      </c>
      <c r="AP44" t="s">
        <v>70</v>
      </c>
      <c r="AQ44" t="s">
        <v>70</v>
      </c>
      <c r="AR44" t="s">
        <v>70</v>
      </c>
      <c r="AS44" t="s">
        <v>70</v>
      </c>
      <c r="AT44" t="s">
        <v>70</v>
      </c>
      <c r="AU44" t="s">
        <v>70</v>
      </c>
      <c r="AV44" t="s">
        <v>70</v>
      </c>
      <c r="AW44" t="s">
        <v>70</v>
      </c>
      <c r="AX44" t="s">
        <v>70</v>
      </c>
      <c r="AY44" t="s">
        <v>70</v>
      </c>
      <c r="AZ44" t="s">
        <v>70</v>
      </c>
      <c r="BA44" t="s">
        <v>70</v>
      </c>
      <c r="BB44">
        <f>((COUNTIF(W44:AB44, "Yes") + COUNTIF(AC44:AH44, "Yes") + COUNTIF(AI44:AO44, "Yes") + COUNTIF(AP44:AW44, "Yes") + COUNTIF(AX44:BA44, "Yes")) / 31) *100</f>
        <v>0</v>
      </c>
      <c r="BC44">
        <f>COUNTIF(W44:AB44, "Yes") + COUNTIF(AC44:AH44, "Yes") + COUNTIF(AI44:AO44, "Yes") + COUNTIF(AP44:AW44, "Yes") + COUNTIF(AX44:BA44, "Yes")</f>
        <v>0</v>
      </c>
      <c r="BD44" t="str">
        <f t="shared" si="7"/>
        <v>Low</v>
      </c>
      <c r="BE44" t="s">
        <v>76</v>
      </c>
      <c r="BF44" s="13" t="s">
        <v>77</v>
      </c>
      <c r="BG44" s="9">
        <v>2023</v>
      </c>
      <c r="BH44" s="10" t="s">
        <v>72</v>
      </c>
      <c r="BI44" s="8">
        <v>0.05</v>
      </c>
      <c r="BJ44" t="s">
        <v>78</v>
      </c>
    </row>
    <row r="45" spans="1:63" x14ac:dyDescent="0.35">
      <c r="A45" t="s">
        <v>237</v>
      </c>
      <c r="B45">
        <v>37.185199999999902</v>
      </c>
      <c r="C45">
        <v>-3.6086999999999998</v>
      </c>
      <c r="D45" s="8">
        <v>4722</v>
      </c>
      <c r="E45" s="8" t="str">
        <f t="shared" si="4"/>
        <v>Medium</v>
      </c>
      <c r="F45" t="s">
        <v>63</v>
      </c>
      <c r="G45" t="s">
        <v>74</v>
      </c>
      <c r="H45">
        <v>2020</v>
      </c>
      <c r="I45" t="s">
        <v>82</v>
      </c>
      <c r="J45" t="s">
        <v>10</v>
      </c>
      <c r="K45" t="s">
        <v>238</v>
      </c>
      <c r="L45" t="s">
        <v>67</v>
      </c>
      <c r="M45" t="s">
        <v>69</v>
      </c>
      <c r="N45" t="s">
        <v>69</v>
      </c>
      <c r="O45" t="s">
        <v>69</v>
      </c>
      <c r="P45" t="s">
        <v>68</v>
      </c>
      <c r="Q45" t="s">
        <v>68</v>
      </c>
      <c r="R45" t="s">
        <v>69</v>
      </c>
      <c r="S45" s="8">
        <f t="shared" si="5"/>
        <v>2</v>
      </c>
      <c r="T45" s="8">
        <v>0</v>
      </c>
      <c r="U45" s="8">
        <f t="shared" si="6"/>
        <v>33.333333333333329</v>
      </c>
      <c r="W45" t="s">
        <v>70</v>
      </c>
      <c r="X45" t="s">
        <v>70</v>
      </c>
      <c r="Y45" t="s">
        <v>70</v>
      </c>
      <c r="Z45" t="s">
        <v>70</v>
      </c>
      <c r="AA45" t="s">
        <v>70</v>
      </c>
      <c r="AB45" t="s">
        <v>70</v>
      </c>
      <c r="AC45" t="s">
        <v>70</v>
      </c>
      <c r="AD45" t="s">
        <v>70</v>
      </c>
      <c r="AE45" t="s">
        <v>70</v>
      </c>
      <c r="AF45" t="s">
        <v>70</v>
      </c>
      <c r="AG45" t="s">
        <v>70</v>
      </c>
      <c r="AH45" t="s">
        <v>70</v>
      </c>
      <c r="AI45" t="s">
        <v>70</v>
      </c>
      <c r="AJ45" t="s">
        <v>70</v>
      </c>
      <c r="AK45" t="s">
        <v>70</v>
      </c>
      <c r="AL45" t="s">
        <v>70</v>
      </c>
      <c r="AM45" t="s">
        <v>70</v>
      </c>
      <c r="AN45" t="s">
        <v>70</v>
      </c>
      <c r="AO45" t="s">
        <v>70</v>
      </c>
      <c r="AP45" t="s">
        <v>70</v>
      </c>
      <c r="AQ45" t="s">
        <v>70</v>
      </c>
      <c r="AR45" t="s">
        <v>70</v>
      </c>
      <c r="AS45" t="s">
        <v>70</v>
      </c>
      <c r="AT45" t="s">
        <v>70</v>
      </c>
      <c r="AU45" t="s">
        <v>70</v>
      </c>
      <c r="AV45" t="s">
        <v>70</v>
      </c>
      <c r="AW45" t="s">
        <v>70</v>
      </c>
      <c r="AX45" t="s">
        <v>70</v>
      </c>
      <c r="AY45" t="s">
        <v>70</v>
      </c>
      <c r="AZ45" t="s">
        <v>70</v>
      </c>
      <c r="BA45" t="s">
        <v>70</v>
      </c>
      <c r="BB45">
        <f>((COUNTIF(W45:AB45, "Yes") + COUNTIF(AC45:AH45, "Yes") + COUNTIF(AI45:AO45, "Yes") + COUNTIF(AP45:AW45, "Yes") + COUNTIF(AX45:BA45, "Yes")) / 31) *100</f>
        <v>0</v>
      </c>
      <c r="BC45">
        <f>COUNTIF(W45:AB45, "Yes") + COUNTIF(AC45:AH45, "Yes") + COUNTIF(AI45:AO45, "Yes") + COUNTIF(AP45:AW45, "Yes") + COUNTIF(AX45:BA45, "Yes")</f>
        <v>0</v>
      </c>
      <c r="BD45" t="str">
        <f t="shared" si="7"/>
        <v>Low</v>
      </c>
      <c r="BE45" t="s">
        <v>89</v>
      </c>
      <c r="BF45" s="13" t="s">
        <v>77</v>
      </c>
      <c r="BG45" s="9">
        <v>2022</v>
      </c>
      <c r="BH45" s="10" t="s">
        <v>72</v>
      </c>
      <c r="BI45" s="8">
        <v>0.1</v>
      </c>
      <c r="BJ45" t="s">
        <v>78</v>
      </c>
    </row>
    <row r="46" spans="1:63" x14ac:dyDescent="0.35">
      <c r="A46" t="s">
        <v>272</v>
      </c>
      <c r="B46">
        <v>-0.15106194444444401</v>
      </c>
      <c r="C46">
        <v>131.03118888888801</v>
      </c>
      <c r="D46" s="8">
        <v>36660</v>
      </c>
      <c r="E46" s="8" t="str">
        <f t="shared" si="4"/>
        <v>Very Large</v>
      </c>
      <c r="F46" t="s">
        <v>80</v>
      </c>
      <c r="G46" t="s">
        <v>165</v>
      </c>
      <c r="H46">
        <v>2023</v>
      </c>
      <c r="I46" t="s">
        <v>82</v>
      </c>
      <c r="J46" t="s">
        <v>10</v>
      </c>
      <c r="K46" t="s">
        <v>273</v>
      </c>
      <c r="L46" t="s">
        <v>67</v>
      </c>
      <c r="M46" t="s">
        <v>68</v>
      </c>
      <c r="N46" t="s">
        <v>69</v>
      </c>
      <c r="O46" t="s">
        <v>69</v>
      </c>
      <c r="P46" t="s">
        <v>69</v>
      </c>
      <c r="Q46" t="s">
        <v>68</v>
      </c>
      <c r="R46" t="s">
        <v>68</v>
      </c>
      <c r="S46" s="8">
        <f t="shared" si="5"/>
        <v>3</v>
      </c>
      <c r="T46" s="8">
        <v>0</v>
      </c>
      <c r="U46" s="8">
        <f t="shared" si="6"/>
        <v>50</v>
      </c>
      <c r="W46" t="s">
        <v>70</v>
      </c>
      <c r="X46" t="s">
        <v>70</v>
      </c>
      <c r="Y46" t="s">
        <v>70</v>
      </c>
      <c r="Z46" t="s">
        <v>70</v>
      </c>
      <c r="AA46" t="s">
        <v>70</v>
      </c>
      <c r="AB46" t="s">
        <v>70</v>
      </c>
      <c r="AC46" t="s">
        <v>70</v>
      </c>
      <c r="AD46" t="s">
        <v>70</v>
      </c>
      <c r="AE46" t="s">
        <v>70</v>
      </c>
      <c r="AF46" t="s">
        <v>70</v>
      </c>
      <c r="AG46" t="s">
        <v>70</v>
      </c>
      <c r="AH46" t="s">
        <v>70</v>
      </c>
      <c r="AI46" t="s">
        <v>70</v>
      </c>
      <c r="AJ46" t="s">
        <v>70</v>
      </c>
      <c r="AK46" t="s">
        <v>70</v>
      </c>
      <c r="AL46" t="s">
        <v>70</v>
      </c>
      <c r="AM46" t="s">
        <v>70</v>
      </c>
      <c r="AN46" t="s">
        <v>70</v>
      </c>
      <c r="AO46" t="s">
        <v>70</v>
      </c>
      <c r="AP46" t="s">
        <v>70</v>
      </c>
      <c r="AQ46" t="s">
        <v>70</v>
      </c>
      <c r="AR46" t="s">
        <v>70</v>
      </c>
      <c r="AS46" t="s">
        <v>70</v>
      </c>
      <c r="AT46" t="s">
        <v>70</v>
      </c>
      <c r="AU46" t="s">
        <v>70</v>
      </c>
      <c r="AV46" t="s">
        <v>70</v>
      </c>
      <c r="AW46" t="s">
        <v>70</v>
      </c>
      <c r="AX46" t="s">
        <v>70</v>
      </c>
      <c r="AY46" t="s">
        <v>70</v>
      </c>
      <c r="AZ46" t="s">
        <v>70</v>
      </c>
      <c r="BA46" t="s">
        <v>70</v>
      </c>
      <c r="BB46">
        <f>((COUNTIF(W46:AB46, "Yes") + COUNTIF(AC46:AH46, "Yes") + COUNTIF(AI46:AO46, "Yes") + COUNTIF(AP46:AW46, "Yes") + COUNTIF(AX46:BA46, "Yes")) / 31) *100</f>
        <v>0</v>
      </c>
      <c r="BC46">
        <f>COUNTIF(W46:AB46, "Yes") + COUNTIF(AC46:AH46, "Yes") + COUNTIF(AI46:AO46, "Yes") + COUNTIF(AP46:AW46, "Yes") + COUNTIF(AX46:BA46, "Yes")</f>
        <v>0</v>
      </c>
      <c r="BD46" t="str">
        <f t="shared" si="7"/>
        <v>Low</v>
      </c>
      <c r="BE46" t="s">
        <v>89</v>
      </c>
      <c r="BF46" s="13" t="s">
        <v>83</v>
      </c>
      <c r="BG46" s="9">
        <v>2018</v>
      </c>
      <c r="BH46" s="10" t="s">
        <v>84</v>
      </c>
      <c r="BI46" s="8">
        <v>0.1</v>
      </c>
      <c r="BJ46" t="s">
        <v>78</v>
      </c>
    </row>
    <row r="47" spans="1:63" x14ac:dyDescent="0.35">
      <c r="A47" t="s">
        <v>235</v>
      </c>
      <c r="B47">
        <v>60.987499999999997</v>
      </c>
      <c r="C47">
        <v>25.6175</v>
      </c>
      <c r="D47" s="8">
        <v>4506</v>
      </c>
      <c r="E47" s="8" t="str">
        <f t="shared" si="4"/>
        <v>Medium</v>
      </c>
      <c r="F47" t="s">
        <v>63</v>
      </c>
      <c r="G47" t="s">
        <v>172</v>
      </c>
      <c r="H47">
        <v>2022</v>
      </c>
      <c r="I47" t="s">
        <v>82</v>
      </c>
      <c r="J47" t="s">
        <v>66</v>
      </c>
      <c r="L47" t="s">
        <v>105</v>
      </c>
      <c r="M47" t="s">
        <v>69</v>
      </c>
      <c r="N47" t="s">
        <v>69</v>
      </c>
      <c r="O47" t="s">
        <v>69</v>
      </c>
      <c r="P47" t="s">
        <v>69</v>
      </c>
      <c r="Q47" t="s">
        <v>68</v>
      </c>
      <c r="R47" t="s">
        <v>69</v>
      </c>
      <c r="S47" s="8">
        <f t="shared" si="5"/>
        <v>1</v>
      </c>
      <c r="T47" s="8">
        <v>0</v>
      </c>
      <c r="U47" s="8">
        <f t="shared" si="6"/>
        <v>16.666666666666664</v>
      </c>
      <c r="W47" t="s">
        <v>70</v>
      </c>
      <c r="X47" t="s">
        <v>70</v>
      </c>
      <c r="Y47" t="s">
        <v>70</v>
      </c>
      <c r="Z47" t="s">
        <v>70</v>
      </c>
      <c r="AA47" t="s">
        <v>70</v>
      </c>
      <c r="AB47" t="s">
        <v>70</v>
      </c>
      <c r="AC47" t="s">
        <v>70</v>
      </c>
      <c r="AD47" t="s">
        <v>70</v>
      </c>
      <c r="AE47" t="s">
        <v>70</v>
      </c>
      <c r="AF47" t="s">
        <v>70</v>
      </c>
      <c r="AG47" t="s">
        <v>70</v>
      </c>
      <c r="AH47" t="s">
        <v>70</v>
      </c>
      <c r="AI47" t="s">
        <v>70</v>
      </c>
      <c r="AJ47" t="s">
        <v>70</v>
      </c>
      <c r="AK47" t="s">
        <v>70</v>
      </c>
      <c r="AL47" t="s">
        <v>70</v>
      </c>
      <c r="AM47" t="s">
        <v>70</v>
      </c>
      <c r="AN47" t="s">
        <v>70</v>
      </c>
      <c r="AO47" t="s">
        <v>70</v>
      </c>
      <c r="AP47" t="s">
        <v>70</v>
      </c>
      <c r="AQ47" t="s">
        <v>70</v>
      </c>
      <c r="AR47" t="s">
        <v>70</v>
      </c>
      <c r="AS47" t="s">
        <v>70</v>
      </c>
      <c r="AT47" t="s">
        <v>70</v>
      </c>
      <c r="AU47" t="s">
        <v>70</v>
      </c>
      <c r="AV47" t="s">
        <v>70</v>
      </c>
      <c r="AW47" t="s">
        <v>70</v>
      </c>
      <c r="AX47" t="s">
        <v>70</v>
      </c>
      <c r="AY47" t="s">
        <v>70</v>
      </c>
      <c r="AZ47" t="s">
        <v>70</v>
      </c>
      <c r="BA47" t="s">
        <v>70</v>
      </c>
      <c r="BB47">
        <f>((COUNTIF(W47:AB47, "Yes") + COUNTIF(AC47:AH47, "Yes") + COUNTIF(AI47:AO47, "Yes") + COUNTIF(AP47:AW47, "Yes") + COUNTIF(AX47:BA47, "Yes")) / 31) *100</f>
        <v>0</v>
      </c>
      <c r="BC47">
        <f>COUNTIF(W47:AB47, "Yes") + COUNTIF(AC47:AH47, "Yes") + COUNTIF(AI47:AO47, "Yes") + COUNTIF(AP47:AW47, "Yes") + COUNTIF(AX47:BA47, "Yes")</f>
        <v>0</v>
      </c>
      <c r="BD47" t="str">
        <f t="shared" si="7"/>
        <v>Low</v>
      </c>
      <c r="BE47" t="s">
        <v>76</v>
      </c>
      <c r="BF47" s="13" t="s">
        <v>77</v>
      </c>
      <c r="BG47" s="9">
        <v>2018</v>
      </c>
      <c r="BH47" s="10" t="s">
        <v>84</v>
      </c>
      <c r="BI47" s="8">
        <v>0.05</v>
      </c>
      <c r="BJ47" t="s">
        <v>78</v>
      </c>
    </row>
    <row r="48" spans="1:63" x14ac:dyDescent="0.35">
      <c r="A48" t="s">
        <v>153</v>
      </c>
      <c r="B48">
        <v>46.504166669999996</v>
      </c>
      <c r="C48">
        <v>14.772500000000001</v>
      </c>
      <c r="D48" s="8">
        <v>1067</v>
      </c>
      <c r="E48" s="8" t="str">
        <f t="shared" si="4"/>
        <v>Medium</v>
      </c>
      <c r="F48" t="s">
        <v>63</v>
      </c>
      <c r="G48" t="s">
        <v>154</v>
      </c>
      <c r="H48">
        <v>2013</v>
      </c>
      <c r="I48" t="s">
        <v>87</v>
      </c>
      <c r="J48" t="s">
        <v>66</v>
      </c>
      <c r="L48" t="s">
        <v>88</v>
      </c>
      <c r="M48" t="s">
        <v>68</v>
      </c>
      <c r="N48" t="s">
        <v>68</v>
      </c>
      <c r="O48" t="s">
        <v>68</v>
      </c>
      <c r="P48" t="s">
        <v>68</v>
      </c>
      <c r="Q48" t="s">
        <v>68</v>
      </c>
      <c r="R48" t="s">
        <v>68</v>
      </c>
      <c r="S48" s="8">
        <f t="shared" si="5"/>
        <v>6</v>
      </c>
      <c r="T48" s="8">
        <v>0</v>
      </c>
      <c r="U48" s="8">
        <f t="shared" si="6"/>
        <v>100</v>
      </c>
      <c r="W48" t="s">
        <v>70</v>
      </c>
      <c r="X48" t="s">
        <v>70</v>
      </c>
      <c r="Y48" t="s">
        <v>70</v>
      </c>
      <c r="Z48" t="s">
        <v>70</v>
      </c>
      <c r="AA48" t="s">
        <v>70</v>
      </c>
      <c r="AB48" t="s">
        <v>70</v>
      </c>
      <c r="AC48" t="s">
        <v>70</v>
      </c>
      <c r="AD48" t="s">
        <v>70</v>
      </c>
      <c r="AE48" t="s">
        <v>70</v>
      </c>
      <c r="AF48" t="s">
        <v>70</v>
      </c>
      <c r="AG48" t="s">
        <v>70</v>
      </c>
      <c r="AH48" t="s">
        <v>70</v>
      </c>
      <c r="AI48" t="s">
        <v>70</v>
      </c>
      <c r="AJ48" t="s">
        <v>70</v>
      </c>
      <c r="AK48" t="s">
        <v>70</v>
      </c>
      <c r="AL48" t="s">
        <v>70</v>
      </c>
      <c r="AM48" t="s">
        <v>70</v>
      </c>
      <c r="AN48" t="s">
        <v>70</v>
      </c>
      <c r="AO48" t="s">
        <v>70</v>
      </c>
      <c r="AP48" t="s">
        <v>70</v>
      </c>
      <c r="AQ48" t="s">
        <v>70</v>
      </c>
      <c r="AR48" t="s">
        <v>70</v>
      </c>
      <c r="AS48" t="s">
        <v>70</v>
      </c>
      <c r="AT48" t="s">
        <v>70</v>
      </c>
      <c r="AU48" t="s">
        <v>70</v>
      </c>
      <c r="AV48" t="s">
        <v>70</v>
      </c>
      <c r="AW48" t="s">
        <v>70</v>
      </c>
      <c r="AX48" t="s">
        <v>70</v>
      </c>
      <c r="AY48" t="s">
        <v>70</v>
      </c>
      <c r="AZ48" t="s">
        <v>70</v>
      </c>
      <c r="BA48" t="s">
        <v>70</v>
      </c>
      <c r="BB48">
        <f>((COUNTIF(W48:AB48, "Yes") + COUNTIF(AC48:AH48, "Yes") + COUNTIF(AI48:AO48, "Yes") + COUNTIF(AP48:AW48, "Yes") + COUNTIF(AX48:BA48, "Yes")) / 31) *100</f>
        <v>0</v>
      </c>
      <c r="BC48">
        <f>COUNTIF(W48:AB48, "Yes") + COUNTIF(AC48:AH48, "Yes") + COUNTIF(AI48:AO48, "Yes") + COUNTIF(AP48:AW48, "Yes") + COUNTIF(AX48:BA48, "Yes")</f>
        <v>0</v>
      </c>
      <c r="BD48" t="str">
        <f t="shared" si="7"/>
        <v>Low</v>
      </c>
      <c r="BE48" t="s">
        <v>76</v>
      </c>
      <c r="BF48" s="13" t="s">
        <v>98</v>
      </c>
      <c r="BG48" s="9">
        <v>2022</v>
      </c>
      <c r="BH48" s="10" t="s">
        <v>72</v>
      </c>
      <c r="BI48" s="8">
        <v>0.15</v>
      </c>
      <c r="BJ48" t="s">
        <v>78</v>
      </c>
    </row>
    <row r="49" spans="1:62" x14ac:dyDescent="0.35">
      <c r="A49" t="s">
        <v>100</v>
      </c>
      <c r="B49">
        <v>25.0402777777777</v>
      </c>
      <c r="C49">
        <v>113.737777777777</v>
      </c>
      <c r="D49" s="8">
        <v>292</v>
      </c>
      <c r="E49" s="8" t="str">
        <f t="shared" si="4"/>
        <v>Small</v>
      </c>
      <c r="F49" t="s">
        <v>80</v>
      </c>
      <c r="G49" t="s">
        <v>81</v>
      </c>
      <c r="H49">
        <v>2004</v>
      </c>
      <c r="I49" t="s">
        <v>65</v>
      </c>
      <c r="J49" t="s">
        <v>97</v>
      </c>
      <c r="L49" t="s">
        <v>67</v>
      </c>
      <c r="M49" t="s">
        <v>68</v>
      </c>
      <c r="N49" t="s">
        <v>69</v>
      </c>
      <c r="O49" t="s">
        <v>69</v>
      </c>
      <c r="P49" t="s">
        <v>68</v>
      </c>
      <c r="Q49" t="s">
        <v>68</v>
      </c>
      <c r="R49" t="s">
        <v>68</v>
      </c>
      <c r="S49" s="8">
        <f t="shared" si="5"/>
        <v>4</v>
      </c>
      <c r="T49" s="8">
        <v>0</v>
      </c>
      <c r="U49" s="8">
        <f t="shared" si="6"/>
        <v>66.666666666666657</v>
      </c>
      <c r="W49" t="s">
        <v>68</v>
      </c>
      <c r="X49" t="s">
        <v>68</v>
      </c>
      <c r="Y49" t="s">
        <v>68</v>
      </c>
      <c r="Z49" t="s">
        <v>68</v>
      </c>
      <c r="AA49" t="s">
        <v>68</v>
      </c>
      <c r="AB49" t="s">
        <v>68</v>
      </c>
      <c r="AC49" t="s">
        <v>68</v>
      </c>
      <c r="AD49" t="s">
        <v>68</v>
      </c>
      <c r="AE49" t="s">
        <v>68</v>
      </c>
      <c r="AF49" t="s">
        <v>68</v>
      </c>
      <c r="AG49" t="s">
        <v>68</v>
      </c>
      <c r="AH49" t="s">
        <v>68</v>
      </c>
      <c r="AI49" t="s">
        <v>68</v>
      </c>
      <c r="AJ49" t="s">
        <v>68</v>
      </c>
      <c r="AK49" t="s">
        <v>68</v>
      </c>
      <c r="AL49" t="s">
        <v>68</v>
      </c>
      <c r="AM49" t="s">
        <v>68</v>
      </c>
      <c r="AN49" t="s">
        <v>68</v>
      </c>
      <c r="AO49" t="s">
        <v>68</v>
      </c>
      <c r="AP49" t="s">
        <v>68</v>
      </c>
      <c r="AQ49" t="s">
        <v>68</v>
      </c>
      <c r="AR49" t="s">
        <v>68</v>
      </c>
      <c r="AS49" t="s">
        <v>68</v>
      </c>
      <c r="AT49" t="s">
        <v>68</v>
      </c>
      <c r="AU49" t="s">
        <v>68</v>
      </c>
      <c r="AV49" t="s">
        <v>68</v>
      </c>
      <c r="AW49" t="s">
        <v>68</v>
      </c>
      <c r="AX49" t="s">
        <v>68</v>
      </c>
      <c r="AY49" t="s">
        <v>68</v>
      </c>
      <c r="AZ49" t="s">
        <v>68</v>
      </c>
      <c r="BA49" t="s">
        <v>68</v>
      </c>
      <c r="BB49">
        <f>((COUNTIF(W49:AB49, "Yes") + COUNTIF(AC49:AH49, "Yes") + COUNTIF(AI49:AO49, "Yes") + COUNTIF(AP49:AW49, "Yes") + COUNTIF(AX49:BA49, "Yes")) / 31) *100</f>
        <v>100</v>
      </c>
      <c r="BC49">
        <f>COUNTIF(W49:AB49, "Yes") + COUNTIF(AC49:AH49, "Yes") + COUNTIF(AI49:AO49, "Yes") + COUNTIF(AP49:AW49, "Yes") + COUNTIF(AX49:BA49, "Yes")</f>
        <v>31</v>
      </c>
      <c r="BD49" t="str">
        <f t="shared" si="7"/>
        <v>High</v>
      </c>
      <c r="BE49" t="s">
        <v>76</v>
      </c>
      <c r="BF49" s="13" t="s">
        <v>72</v>
      </c>
      <c r="BG49" s="9">
        <v>2023</v>
      </c>
      <c r="BH49" s="10" t="s">
        <v>72</v>
      </c>
      <c r="BI49" s="8">
        <v>0.1</v>
      </c>
      <c r="BJ49" t="s">
        <v>78</v>
      </c>
    </row>
    <row r="50" spans="1:62" x14ac:dyDescent="0.35">
      <c r="A50" t="s">
        <v>106</v>
      </c>
      <c r="B50">
        <v>24.7555555555555</v>
      </c>
      <c r="C50">
        <v>103.27972222222201</v>
      </c>
      <c r="D50" s="8">
        <v>350</v>
      </c>
      <c r="E50" s="8" t="str">
        <f t="shared" si="4"/>
        <v>Small</v>
      </c>
      <c r="F50" t="s">
        <v>80</v>
      </c>
      <c r="G50" t="s">
        <v>81</v>
      </c>
      <c r="H50">
        <v>2004</v>
      </c>
      <c r="I50" t="s">
        <v>65</v>
      </c>
      <c r="J50" t="s">
        <v>66</v>
      </c>
      <c r="L50" t="s">
        <v>67</v>
      </c>
      <c r="M50" t="s">
        <v>68</v>
      </c>
      <c r="N50" t="s">
        <v>69</v>
      </c>
      <c r="O50" t="s">
        <v>68</v>
      </c>
      <c r="P50" t="s">
        <v>68</v>
      </c>
      <c r="Q50" t="s">
        <v>68</v>
      </c>
      <c r="R50" s="12" t="s">
        <v>68</v>
      </c>
      <c r="S50" s="8">
        <f t="shared" si="5"/>
        <v>5</v>
      </c>
      <c r="T50" s="8">
        <v>0</v>
      </c>
      <c r="U50" s="8">
        <f t="shared" si="6"/>
        <v>83.333333333333343</v>
      </c>
      <c r="W50" t="s">
        <v>68</v>
      </c>
      <c r="X50" t="s">
        <v>68</v>
      </c>
      <c r="Y50" t="s">
        <v>68</v>
      </c>
      <c r="Z50" t="s">
        <v>68</v>
      </c>
      <c r="AA50" t="s">
        <v>68</v>
      </c>
      <c r="AB50" t="s">
        <v>68</v>
      </c>
      <c r="AC50" t="s">
        <v>68</v>
      </c>
      <c r="AD50" t="s">
        <v>68</v>
      </c>
      <c r="AE50" t="s">
        <v>68</v>
      </c>
      <c r="AF50" t="s">
        <v>68</v>
      </c>
      <c r="AG50" t="s">
        <v>68</v>
      </c>
      <c r="AH50" t="s">
        <v>68</v>
      </c>
      <c r="AI50" t="s">
        <v>68</v>
      </c>
      <c r="AJ50" t="s">
        <v>68</v>
      </c>
      <c r="AK50" t="s">
        <v>68</v>
      </c>
      <c r="AL50" t="s">
        <v>68</v>
      </c>
      <c r="AM50" t="s">
        <v>68</v>
      </c>
      <c r="AN50" t="s">
        <v>68</v>
      </c>
      <c r="AO50" t="s">
        <v>68</v>
      </c>
      <c r="AP50" t="s">
        <v>68</v>
      </c>
      <c r="AQ50" t="s">
        <v>68</v>
      </c>
      <c r="AR50" t="s">
        <v>68</v>
      </c>
      <c r="AS50" t="s">
        <v>68</v>
      </c>
      <c r="AT50" t="s">
        <v>68</v>
      </c>
      <c r="AU50" t="s">
        <v>68</v>
      </c>
      <c r="AV50" t="s">
        <v>68</v>
      </c>
      <c r="AW50" t="s">
        <v>68</v>
      </c>
      <c r="AX50" t="s">
        <v>68</v>
      </c>
      <c r="AY50" t="s">
        <v>68</v>
      </c>
      <c r="AZ50" t="s">
        <v>68</v>
      </c>
      <c r="BA50" t="s">
        <v>68</v>
      </c>
      <c r="BB50">
        <f>((COUNTIF(W50:AB50, "Yes") + COUNTIF(AC50:AH50, "Yes") + COUNTIF(AI50:AO50, "Yes") + COUNTIF(AP50:AW50, "Yes") + COUNTIF(AX50:BA50, "Yes")) / 31) *100</f>
        <v>100</v>
      </c>
      <c r="BC50">
        <f>COUNTIF(W50:AB50, "Yes") + COUNTIF(AC50:AH50, "Yes") + COUNTIF(AI50:AO50, "Yes") + COUNTIF(AP50:AW50, "Yes") + COUNTIF(AX50:BA50, "Yes")</f>
        <v>31</v>
      </c>
      <c r="BD50" t="str">
        <f t="shared" si="7"/>
        <v>High</v>
      </c>
      <c r="BE50" t="s">
        <v>89</v>
      </c>
      <c r="BF50" s="13" t="s">
        <v>72</v>
      </c>
      <c r="BG50" s="9">
        <v>2022</v>
      </c>
      <c r="BH50" s="10" t="s">
        <v>72</v>
      </c>
      <c r="BI50" s="8">
        <v>0.2</v>
      </c>
      <c r="BJ50" t="s">
        <v>78</v>
      </c>
    </row>
    <row r="51" spans="1:62" x14ac:dyDescent="0.35">
      <c r="A51" t="s">
        <v>103</v>
      </c>
      <c r="B51">
        <v>28.351944444444399</v>
      </c>
      <c r="C51">
        <v>121.09444444444399</v>
      </c>
      <c r="D51" s="8">
        <v>298.8</v>
      </c>
      <c r="E51" s="8" t="str">
        <f t="shared" si="4"/>
        <v>Small</v>
      </c>
      <c r="F51" t="s">
        <v>80</v>
      </c>
      <c r="G51" t="s">
        <v>81</v>
      </c>
      <c r="H51">
        <v>2005</v>
      </c>
      <c r="I51" t="s">
        <v>65</v>
      </c>
      <c r="J51" t="s">
        <v>66</v>
      </c>
      <c r="L51" t="s">
        <v>67</v>
      </c>
      <c r="M51" t="s">
        <v>69</v>
      </c>
      <c r="N51" t="s">
        <v>69</v>
      </c>
      <c r="O51" t="s">
        <v>69</v>
      </c>
      <c r="P51" t="s">
        <v>68</v>
      </c>
      <c r="Q51" t="s">
        <v>68</v>
      </c>
      <c r="R51" t="s">
        <v>68</v>
      </c>
      <c r="S51" s="8">
        <f t="shared" si="5"/>
        <v>3</v>
      </c>
      <c r="T51" s="8">
        <v>0</v>
      </c>
      <c r="U51" s="8">
        <f t="shared" si="6"/>
        <v>50</v>
      </c>
      <c r="W51" t="s">
        <v>68</v>
      </c>
      <c r="X51" t="s">
        <v>68</v>
      </c>
      <c r="Y51" t="s">
        <v>68</v>
      </c>
      <c r="Z51" t="s">
        <v>68</v>
      </c>
      <c r="AA51" t="s">
        <v>68</v>
      </c>
      <c r="AB51" t="s">
        <v>68</v>
      </c>
      <c r="AC51" t="s">
        <v>68</v>
      </c>
      <c r="AD51" t="s">
        <v>68</v>
      </c>
      <c r="AE51" t="s">
        <v>68</v>
      </c>
      <c r="AF51" t="s">
        <v>68</v>
      </c>
      <c r="AG51" t="s">
        <v>68</v>
      </c>
      <c r="AH51" t="s">
        <v>68</v>
      </c>
      <c r="AI51" t="s">
        <v>68</v>
      </c>
      <c r="AJ51" t="s">
        <v>68</v>
      </c>
      <c r="AK51" t="s">
        <v>68</v>
      </c>
      <c r="AL51" t="s">
        <v>68</v>
      </c>
      <c r="AM51" t="s">
        <v>68</v>
      </c>
      <c r="AN51" t="s">
        <v>68</v>
      </c>
      <c r="AO51" t="s">
        <v>68</v>
      </c>
      <c r="AP51" t="s">
        <v>68</v>
      </c>
      <c r="AQ51" t="s">
        <v>68</v>
      </c>
      <c r="AR51" t="s">
        <v>68</v>
      </c>
      <c r="AS51" t="s">
        <v>68</v>
      </c>
      <c r="AT51" t="s">
        <v>68</v>
      </c>
      <c r="AU51" t="s">
        <v>68</v>
      </c>
      <c r="AV51" t="s">
        <v>68</v>
      </c>
      <c r="AW51" t="s">
        <v>68</v>
      </c>
      <c r="AX51" t="s">
        <v>68</v>
      </c>
      <c r="AY51" t="s">
        <v>68</v>
      </c>
      <c r="AZ51" t="s">
        <v>68</v>
      </c>
      <c r="BA51" t="s">
        <v>68</v>
      </c>
      <c r="BB51">
        <f>((COUNTIF(W51:AB51, "Yes") + COUNTIF(AC51:AH51, "Yes") + COUNTIF(AI51:AO51, "Yes") + COUNTIF(AP51:AW51, "Yes") + COUNTIF(AX51:BA51, "Yes")) / 31) *100</f>
        <v>100</v>
      </c>
      <c r="BC51">
        <f>COUNTIF(W51:AB51, "Yes") + COUNTIF(AC51:AH51, "Yes") + COUNTIF(AI51:AO51, "Yes") + COUNTIF(AP51:AW51, "Yes") + COUNTIF(AX51:BA51, "Yes")</f>
        <v>31</v>
      </c>
      <c r="BD51" t="str">
        <f t="shared" si="7"/>
        <v>High</v>
      </c>
      <c r="BE51" t="s">
        <v>89</v>
      </c>
      <c r="BF51" s="13" t="s">
        <v>83</v>
      </c>
      <c r="BG51" s="9">
        <v>2023</v>
      </c>
      <c r="BH51" s="10" t="s">
        <v>72</v>
      </c>
      <c r="BJ51" t="s">
        <v>85</v>
      </c>
    </row>
    <row r="52" spans="1:62" x14ac:dyDescent="0.35">
      <c r="A52" t="s">
        <v>150</v>
      </c>
      <c r="B52">
        <v>39.165833333333303</v>
      </c>
      <c r="C52">
        <v>114.613333333333</v>
      </c>
      <c r="D52" s="8">
        <v>1045</v>
      </c>
      <c r="E52" s="8" t="str">
        <f t="shared" si="4"/>
        <v>Medium</v>
      </c>
      <c r="F52" t="s">
        <v>80</v>
      </c>
      <c r="G52" t="s">
        <v>81</v>
      </c>
      <c r="H52">
        <v>2006</v>
      </c>
      <c r="I52" t="s">
        <v>65</v>
      </c>
      <c r="J52" t="s">
        <v>10</v>
      </c>
      <c r="L52" t="s">
        <v>67</v>
      </c>
      <c r="M52" t="s">
        <v>69</v>
      </c>
      <c r="N52" t="s">
        <v>68</v>
      </c>
      <c r="O52" t="s">
        <v>68</v>
      </c>
      <c r="P52" t="s">
        <v>68</v>
      </c>
      <c r="Q52" t="s">
        <v>68</v>
      </c>
      <c r="R52" t="s">
        <v>69</v>
      </c>
      <c r="S52" s="8">
        <f t="shared" si="5"/>
        <v>4</v>
      </c>
      <c r="T52" s="8">
        <v>0</v>
      </c>
      <c r="U52" s="8">
        <f t="shared" si="6"/>
        <v>66.666666666666657</v>
      </c>
      <c r="W52" t="s">
        <v>68</v>
      </c>
      <c r="X52" t="s">
        <v>68</v>
      </c>
      <c r="Y52" t="s">
        <v>68</v>
      </c>
      <c r="Z52" t="s">
        <v>68</v>
      </c>
      <c r="AA52" t="s">
        <v>68</v>
      </c>
      <c r="AB52" t="s">
        <v>68</v>
      </c>
      <c r="AC52" t="s">
        <v>68</v>
      </c>
      <c r="AD52" t="s">
        <v>68</v>
      </c>
      <c r="AE52" t="s">
        <v>68</v>
      </c>
      <c r="AF52" t="s">
        <v>68</v>
      </c>
      <c r="AG52" t="s">
        <v>68</v>
      </c>
      <c r="AH52" t="s">
        <v>68</v>
      </c>
      <c r="AI52" t="s">
        <v>68</v>
      </c>
      <c r="AJ52" t="s">
        <v>68</v>
      </c>
      <c r="AK52" t="s">
        <v>68</v>
      </c>
      <c r="AL52" t="s">
        <v>68</v>
      </c>
      <c r="AM52" t="s">
        <v>68</v>
      </c>
      <c r="AN52" t="s">
        <v>68</v>
      </c>
      <c r="AO52" t="s">
        <v>68</v>
      </c>
      <c r="AP52" t="s">
        <v>68</v>
      </c>
      <c r="AQ52" t="s">
        <v>68</v>
      </c>
      <c r="AR52" t="s">
        <v>68</v>
      </c>
      <c r="AS52" t="s">
        <v>68</v>
      </c>
      <c r="AT52" t="s">
        <v>68</v>
      </c>
      <c r="AU52" t="s">
        <v>68</v>
      </c>
      <c r="AV52" t="s">
        <v>68</v>
      </c>
      <c r="AW52" t="s">
        <v>68</v>
      </c>
      <c r="AX52" t="s">
        <v>68</v>
      </c>
      <c r="AY52" t="s">
        <v>68</v>
      </c>
      <c r="AZ52" t="s">
        <v>68</v>
      </c>
      <c r="BA52" t="s">
        <v>68</v>
      </c>
      <c r="BB52">
        <f>((COUNTIF(W52:AB52, "Yes") + COUNTIF(AC52:AH52, "Yes") + COUNTIF(AI52:AO52, "Yes") + COUNTIF(AP52:AW52, "Yes") + COUNTIF(AX52:BA52, "Yes")) / 31) *100</f>
        <v>100</v>
      </c>
      <c r="BC52">
        <f>COUNTIF(W52:AB52, "Yes") + COUNTIF(AC52:AH52, "Yes") + COUNTIF(AI52:AO52, "Yes") + COUNTIF(AP52:AW52, "Yes") + COUNTIF(AX52:BA52, "Yes")</f>
        <v>31</v>
      </c>
      <c r="BD52" t="str">
        <f t="shared" si="7"/>
        <v>High</v>
      </c>
      <c r="BE52" t="s">
        <v>89</v>
      </c>
      <c r="BF52" s="13" t="s">
        <v>83</v>
      </c>
      <c r="BH52" s="10" t="s">
        <v>99</v>
      </c>
      <c r="BJ52" t="s">
        <v>85</v>
      </c>
    </row>
    <row r="53" spans="1:62" x14ac:dyDescent="0.35">
      <c r="A53" t="s">
        <v>132</v>
      </c>
      <c r="B53">
        <v>37.038888888888799</v>
      </c>
      <c r="C53">
        <v>137.86277777777701</v>
      </c>
      <c r="D53" s="8">
        <v>750</v>
      </c>
      <c r="E53" s="8" t="str">
        <f t="shared" si="4"/>
        <v>Small</v>
      </c>
      <c r="F53" t="s">
        <v>80</v>
      </c>
      <c r="G53" t="s">
        <v>133</v>
      </c>
      <c r="H53">
        <v>2009</v>
      </c>
      <c r="I53" t="s">
        <v>65</v>
      </c>
      <c r="J53" t="s">
        <v>66</v>
      </c>
      <c r="L53" t="s">
        <v>67</v>
      </c>
      <c r="M53" t="s">
        <v>68</v>
      </c>
      <c r="N53" t="s">
        <v>69</v>
      </c>
      <c r="O53" t="s">
        <v>69</v>
      </c>
      <c r="P53" t="s">
        <v>68</v>
      </c>
      <c r="Q53" t="s">
        <v>68</v>
      </c>
      <c r="R53" t="s">
        <v>69</v>
      </c>
      <c r="S53" s="8">
        <f t="shared" si="5"/>
        <v>3</v>
      </c>
      <c r="T53" s="8">
        <v>0</v>
      </c>
      <c r="U53" s="8">
        <f t="shared" si="6"/>
        <v>50</v>
      </c>
      <c r="W53" t="s">
        <v>68</v>
      </c>
      <c r="X53" t="s">
        <v>68</v>
      </c>
      <c r="Y53" t="s">
        <v>68</v>
      </c>
      <c r="Z53" t="s">
        <v>68</v>
      </c>
      <c r="AA53" t="s">
        <v>68</v>
      </c>
      <c r="AB53" t="s">
        <v>68</v>
      </c>
      <c r="AC53" t="s">
        <v>68</v>
      </c>
      <c r="AD53" t="s">
        <v>68</v>
      </c>
      <c r="AE53" t="s">
        <v>68</v>
      </c>
      <c r="AF53" t="s">
        <v>68</v>
      </c>
      <c r="AG53" t="s">
        <v>68</v>
      </c>
      <c r="AH53" t="s">
        <v>68</v>
      </c>
      <c r="AI53" t="s">
        <v>68</v>
      </c>
      <c r="AJ53" t="s">
        <v>68</v>
      </c>
      <c r="AK53" t="s">
        <v>68</v>
      </c>
      <c r="AL53" t="s">
        <v>68</v>
      </c>
      <c r="AM53" t="s">
        <v>68</v>
      </c>
      <c r="AN53" t="s">
        <v>69</v>
      </c>
      <c r="AO53" t="s">
        <v>68</v>
      </c>
      <c r="AP53" t="s">
        <v>68</v>
      </c>
      <c r="AQ53" t="s">
        <v>68</v>
      </c>
      <c r="AR53" t="s">
        <v>68</v>
      </c>
      <c r="AS53" t="s">
        <v>68</v>
      </c>
      <c r="AT53" t="s">
        <v>68</v>
      </c>
      <c r="AU53" t="s">
        <v>68</v>
      </c>
      <c r="AV53" t="s">
        <v>68</v>
      </c>
      <c r="AW53" t="s">
        <v>68</v>
      </c>
      <c r="AX53" t="s">
        <v>68</v>
      </c>
      <c r="AY53" t="s">
        <v>68</v>
      </c>
      <c r="AZ53" t="s">
        <v>68</v>
      </c>
      <c r="BA53" t="s">
        <v>68</v>
      </c>
      <c r="BB53">
        <f>((COUNTIF(W53:AB53, "Yes") + COUNTIF(AC53:AH53, "Yes") + COUNTIF(AI53:AO53, "Yes") + COUNTIF(AP53:AW53, "Yes") + COUNTIF(AX53:BA53, "Yes")) / 31) *100</f>
        <v>96.774193548387103</v>
      </c>
      <c r="BC53">
        <f>COUNTIF(W53:AB53, "Yes") + COUNTIF(AC53:AH53, "Yes") + COUNTIF(AI53:AO53, "Yes") + COUNTIF(AP53:AW53, "Yes") + COUNTIF(AX53:BA53, "Yes")</f>
        <v>30</v>
      </c>
      <c r="BD53" t="str">
        <f t="shared" si="7"/>
        <v>High</v>
      </c>
      <c r="BE53" t="s">
        <v>89</v>
      </c>
      <c r="BF53" s="13" t="s">
        <v>98</v>
      </c>
      <c r="BH53" s="10" t="s">
        <v>240</v>
      </c>
      <c r="BI53" s="8">
        <v>0.05</v>
      </c>
      <c r="BJ53" t="s">
        <v>78</v>
      </c>
    </row>
    <row r="54" spans="1:62" x14ac:dyDescent="0.35">
      <c r="A54" t="s">
        <v>201</v>
      </c>
      <c r="B54">
        <v>23.192222222222199</v>
      </c>
      <c r="C54">
        <v>105.196944444444</v>
      </c>
      <c r="D54" s="8">
        <v>2356</v>
      </c>
      <c r="E54" s="8" t="str">
        <f t="shared" si="4"/>
        <v>Medium</v>
      </c>
      <c r="F54" t="s">
        <v>80</v>
      </c>
      <c r="G54" t="s">
        <v>202</v>
      </c>
      <c r="H54">
        <v>2010</v>
      </c>
      <c r="I54" t="s">
        <v>65</v>
      </c>
      <c r="J54" t="s">
        <v>75</v>
      </c>
      <c r="L54" t="s">
        <v>67</v>
      </c>
      <c r="M54" t="s">
        <v>68</v>
      </c>
      <c r="N54" t="s">
        <v>69</v>
      </c>
      <c r="O54" t="s">
        <v>69</v>
      </c>
      <c r="P54" t="s">
        <v>68</v>
      </c>
      <c r="Q54" t="s">
        <v>68</v>
      </c>
      <c r="R54" t="s">
        <v>68</v>
      </c>
      <c r="S54" s="8">
        <f t="shared" si="5"/>
        <v>4</v>
      </c>
      <c r="T54" s="8">
        <v>0</v>
      </c>
      <c r="U54" s="8">
        <f t="shared" si="6"/>
        <v>66.666666666666657</v>
      </c>
      <c r="W54" t="s">
        <v>68</v>
      </c>
      <c r="X54" t="s">
        <v>68</v>
      </c>
      <c r="Y54" t="s">
        <v>68</v>
      </c>
      <c r="Z54" t="s">
        <v>68</v>
      </c>
      <c r="AA54" t="s">
        <v>69</v>
      </c>
      <c r="AB54" t="s">
        <v>69</v>
      </c>
      <c r="AC54" t="s">
        <v>68</v>
      </c>
      <c r="AD54" t="s">
        <v>68</v>
      </c>
      <c r="AE54" t="s">
        <v>69</v>
      </c>
      <c r="AF54" t="s">
        <v>68</v>
      </c>
      <c r="AG54" t="s">
        <v>69</v>
      </c>
      <c r="AH54" t="s">
        <v>68</v>
      </c>
      <c r="AI54" t="s">
        <v>68</v>
      </c>
      <c r="AJ54" t="s">
        <v>68</v>
      </c>
      <c r="AK54" t="s">
        <v>68</v>
      </c>
      <c r="AL54" t="s">
        <v>68</v>
      </c>
      <c r="AM54" t="s">
        <v>69</v>
      </c>
      <c r="AN54" t="s">
        <v>68</v>
      </c>
      <c r="AO54" t="s">
        <v>68</v>
      </c>
      <c r="AP54" t="s">
        <v>68</v>
      </c>
      <c r="AQ54" t="s">
        <v>69</v>
      </c>
      <c r="AR54" t="s">
        <v>68</v>
      </c>
      <c r="AS54" t="s">
        <v>68</v>
      </c>
      <c r="AT54" t="s">
        <v>68</v>
      </c>
      <c r="AU54" t="s">
        <v>69</v>
      </c>
      <c r="AV54" t="s">
        <v>68</v>
      </c>
      <c r="AW54" t="s">
        <v>69</v>
      </c>
      <c r="AX54" t="s">
        <v>68</v>
      </c>
      <c r="AY54" t="s">
        <v>68</v>
      </c>
      <c r="AZ54" t="s">
        <v>68</v>
      </c>
      <c r="BA54" t="s">
        <v>68</v>
      </c>
      <c r="BB54">
        <f>((COUNTIF(W54:AB54, "Yes") + COUNTIF(AC54:AH54, "Yes") + COUNTIF(AI54:AO54, "Yes") + COUNTIF(AP54:AW54, "Yes") + COUNTIF(AX54:BA54, "Yes")) / 31) *100</f>
        <v>74.193548387096769</v>
      </c>
      <c r="BC54">
        <f>COUNTIF(W54:AB54, "Yes") + COUNTIF(AC54:AH54, "Yes") + COUNTIF(AI54:AO54, "Yes") + COUNTIF(AP54:AW54, "Yes") + COUNTIF(AX54:BA54, "Yes")</f>
        <v>23</v>
      </c>
      <c r="BD54" t="str">
        <f t="shared" si="7"/>
        <v>High</v>
      </c>
      <c r="BE54" t="s">
        <v>71</v>
      </c>
      <c r="BF54" t="s">
        <v>71</v>
      </c>
      <c r="BG54" s="9">
        <v>2022</v>
      </c>
      <c r="BH54" s="10" t="s">
        <v>72</v>
      </c>
      <c r="BI54" s="8"/>
      <c r="BJ54" t="s">
        <v>71</v>
      </c>
    </row>
    <row r="55" spans="1:62" x14ac:dyDescent="0.35">
      <c r="A55" t="s">
        <v>195</v>
      </c>
      <c r="B55">
        <v>58.135833333333302</v>
      </c>
      <c r="C55">
        <v>-5.2513888888888802</v>
      </c>
      <c r="D55" s="8">
        <v>2100</v>
      </c>
      <c r="E55" s="8" t="str">
        <f t="shared" si="4"/>
        <v>Medium</v>
      </c>
      <c r="F55" t="s">
        <v>63</v>
      </c>
      <c r="G55" t="s">
        <v>137</v>
      </c>
      <c r="H55">
        <v>2004</v>
      </c>
      <c r="I55" t="s">
        <v>65</v>
      </c>
      <c r="J55" t="s">
        <v>66</v>
      </c>
      <c r="L55" t="s">
        <v>67</v>
      </c>
      <c r="M55" t="s">
        <v>69</v>
      </c>
      <c r="N55" t="s">
        <v>68</v>
      </c>
      <c r="O55" t="s">
        <v>68</v>
      </c>
      <c r="P55" t="s">
        <v>68</v>
      </c>
      <c r="Q55" t="s">
        <v>68</v>
      </c>
      <c r="R55" t="s">
        <v>69</v>
      </c>
      <c r="S55" s="8">
        <f t="shared" si="5"/>
        <v>4</v>
      </c>
      <c r="T55" s="8">
        <v>0</v>
      </c>
      <c r="U55" s="8">
        <f t="shared" si="6"/>
        <v>66.666666666666657</v>
      </c>
      <c r="V55" t="s">
        <v>196</v>
      </c>
      <c r="W55" t="s">
        <v>68</v>
      </c>
      <c r="X55" t="s">
        <v>68</v>
      </c>
      <c r="Y55" t="s">
        <v>68</v>
      </c>
      <c r="Z55" t="s">
        <v>68</v>
      </c>
      <c r="AA55" t="s">
        <v>68</v>
      </c>
      <c r="AB55" t="s">
        <v>69</v>
      </c>
      <c r="AC55" t="s">
        <v>68</v>
      </c>
      <c r="AD55" t="s">
        <v>68</v>
      </c>
      <c r="AE55" t="s">
        <v>69</v>
      </c>
      <c r="AF55" t="s">
        <v>68</v>
      </c>
      <c r="AG55" t="s">
        <v>68</v>
      </c>
      <c r="AH55" t="s">
        <v>68</v>
      </c>
      <c r="AI55" t="s">
        <v>68</v>
      </c>
      <c r="AJ55" t="s">
        <v>68</v>
      </c>
      <c r="AK55" t="s">
        <v>68</v>
      </c>
      <c r="AL55" t="s">
        <v>68</v>
      </c>
      <c r="AM55" t="s">
        <v>68</v>
      </c>
      <c r="AN55" t="s">
        <v>68</v>
      </c>
      <c r="AO55" t="s">
        <v>68</v>
      </c>
      <c r="AP55" t="s">
        <v>68</v>
      </c>
      <c r="AQ55" t="s">
        <v>68</v>
      </c>
      <c r="AR55" t="s">
        <v>68</v>
      </c>
      <c r="AS55" t="s">
        <v>68</v>
      </c>
      <c r="AT55" t="s">
        <v>68</v>
      </c>
      <c r="AU55" t="s">
        <v>68</v>
      </c>
      <c r="AV55" t="s">
        <v>69</v>
      </c>
      <c r="AW55" t="s">
        <v>69</v>
      </c>
      <c r="AX55" t="s">
        <v>68</v>
      </c>
      <c r="AY55" t="s">
        <v>68</v>
      </c>
      <c r="AZ55" t="s">
        <v>68</v>
      </c>
      <c r="BA55" t="s">
        <v>68</v>
      </c>
      <c r="BB55">
        <f>((COUNTIF(W55:AB55, "Yes") + COUNTIF(AC55:AH55, "Yes") + COUNTIF(AI55:AO55, "Yes") + COUNTIF(AP55:AW55, "Yes") + COUNTIF(AX55:BA55, "Yes")) / 31) *100</f>
        <v>87.096774193548384</v>
      </c>
      <c r="BC55">
        <f>COUNTIF(W55:AB55, "Yes") + COUNTIF(AC55:AH55, "Yes") + COUNTIF(AI55:AO55, "Yes") + COUNTIF(AP55:AW55, "Yes") + COUNTIF(AX55:BA55, "Yes")</f>
        <v>27</v>
      </c>
      <c r="BD55" t="str">
        <f t="shared" si="7"/>
        <v>High</v>
      </c>
      <c r="BE55" t="s">
        <v>76</v>
      </c>
      <c r="BF55" s="13" t="s">
        <v>72</v>
      </c>
      <c r="BG55" s="9">
        <v>2022</v>
      </c>
      <c r="BH55" s="10" t="s">
        <v>72</v>
      </c>
      <c r="BI55" s="14">
        <v>0.1</v>
      </c>
      <c r="BJ55" t="s">
        <v>78</v>
      </c>
    </row>
    <row r="56" spans="1:62" x14ac:dyDescent="0.35">
      <c r="A56" t="s">
        <v>148</v>
      </c>
      <c r="B56">
        <v>45.607500000000002</v>
      </c>
      <c r="C56">
        <v>23.378888888888799</v>
      </c>
      <c r="D56" s="8">
        <v>1024</v>
      </c>
      <c r="E56" s="8" t="str">
        <f t="shared" si="4"/>
        <v>Medium</v>
      </c>
      <c r="F56" t="s">
        <v>63</v>
      </c>
      <c r="G56" t="s">
        <v>149</v>
      </c>
      <c r="H56">
        <v>2005</v>
      </c>
      <c r="I56" t="s">
        <v>65</v>
      </c>
      <c r="J56" t="s">
        <v>66</v>
      </c>
      <c r="L56" s="12" t="s">
        <v>67</v>
      </c>
      <c r="M56" t="s">
        <v>68</v>
      </c>
      <c r="N56" t="s">
        <v>69</v>
      </c>
      <c r="O56" t="s">
        <v>68</v>
      </c>
      <c r="P56" t="s">
        <v>68</v>
      </c>
      <c r="Q56" s="12" t="s">
        <v>68</v>
      </c>
      <c r="R56" t="s">
        <v>68</v>
      </c>
      <c r="S56" s="8">
        <f t="shared" si="5"/>
        <v>5</v>
      </c>
      <c r="T56" s="8">
        <v>0</v>
      </c>
      <c r="U56" s="8">
        <f t="shared" si="6"/>
        <v>83.333333333333343</v>
      </c>
      <c r="W56" t="s">
        <v>68</v>
      </c>
      <c r="X56" t="s">
        <v>68</v>
      </c>
      <c r="Y56" t="s">
        <v>68</v>
      </c>
      <c r="Z56" t="s">
        <v>68</v>
      </c>
      <c r="AA56" t="s">
        <v>69</v>
      </c>
      <c r="AB56" t="s">
        <v>69</v>
      </c>
      <c r="AC56" t="s">
        <v>68</v>
      </c>
      <c r="AD56" t="s">
        <v>68</v>
      </c>
      <c r="AE56" s="12" t="s">
        <v>68</v>
      </c>
      <c r="AF56" s="12" t="s">
        <v>68</v>
      </c>
      <c r="AG56" t="s">
        <v>68</v>
      </c>
      <c r="AH56" t="s">
        <v>68</v>
      </c>
      <c r="AI56" t="s">
        <v>68</v>
      </c>
      <c r="AJ56" s="12" t="s">
        <v>68</v>
      </c>
      <c r="AK56" t="s">
        <v>68</v>
      </c>
      <c r="AL56" t="s">
        <v>68</v>
      </c>
      <c r="AM56" t="s">
        <v>68</v>
      </c>
      <c r="AN56" s="12" t="s">
        <v>68</v>
      </c>
      <c r="AO56" t="s">
        <v>68</v>
      </c>
      <c r="AP56" s="12" t="s">
        <v>68</v>
      </c>
      <c r="AQ56" s="12" t="s">
        <v>68</v>
      </c>
      <c r="AR56" t="s">
        <v>68</v>
      </c>
      <c r="AS56" s="12" t="s">
        <v>68</v>
      </c>
      <c r="AT56" t="s">
        <v>68</v>
      </c>
      <c r="AU56" t="s">
        <v>68</v>
      </c>
      <c r="AV56" t="s">
        <v>69</v>
      </c>
      <c r="AW56" t="s">
        <v>68</v>
      </c>
      <c r="AX56" t="s">
        <v>68</v>
      </c>
      <c r="AY56" t="s">
        <v>68</v>
      </c>
      <c r="AZ56" s="12" t="s">
        <v>68</v>
      </c>
      <c r="BA56" t="s">
        <v>68</v>
      </c>
      <c r="BB56" t="s">
        <v>70</v>
      </c>
      <c r="BC56" t="s">
        <v>70</v>
      </c>
      <c r="BD56" t="s">
        <v>70</v>
      </c>
      <c r="BE56" t="s">
        <v>71</v>
      </c>
      <c r="BF56" t="s">
        <v>71</v>
      </c>
      <c r="BG56" s="9">
        <v>2023</v>
      </c>
      <c r="BH56" s="10" t="s">
        <v>72</v>
      </c>
      <c r="BI56" s="8"/>
      <c r="BJ56" t="s">
        <v>71</v>
      </c>
    </row>
    <row r="57" spans="1:62" x14ac:dyDescent="0.35">
      <c r="A57" t="s">
        <v>236</v>
      </c>
      <c r="B57">
        <v>39.8044444444444</v>
      </c>
      <c r="C57">
        <v>-7.4927777777777704</v>
      </c>
      <c r="D57" s="8">
        <v>4624.3999999999996</v>
      </c>
      <c r="E57" s="8" t="str">
        <f t="shared" si="4"/>
        <v>Medium</v>
      </c>
      <c r="F57" t="s">
        <v>63</v>
      </c>
      <c r="G57" t="s">
        <v>128</v>
      </c>
      <c r="H57">
        <v>2006</v>
      </c>
      <c r="I57" t="s">
        <v>65</v>
      </c>
      <c r="J57" t="s">
        <v>75</v>
      </c>
      <c r="L57" t="s">
        <v>67</v>
      </c>
      <c r="M57" t="s">
        <v>68</v>
      </c>
      <c r="N57" t="s">
        <v>68</v>
      </c>
      <c r="O57" t="s">
        <v>69</v>
      </c>
      <c r="P57" t="s">
        <v>68</v>
      </c>
      <c r="Q57" t="s">
        <v>68</v>
      </c>
      <c r="R57" t="s">
        <v>69</v>
      </c>
      <c r="S57" s="8">
        <f t="shared" si="5"/>
        <v>4</v>
      </c>
      <c r="T57" s="8">
        <v>0</v>
      </c>
      <c r="U57" s="8">
        <f t="shared" si="6"/>
        <v>66.666666666666657</v>
      </c>
      <c r="W57" t="s">
        <v>68</v>
      </c>
      <c r="X57" t="s">
        <v>68</v>
      </c>
      <c r="Y57" t="s">
        <v>68</v>
      </c>
      <c r="Z57" t="s">
        <v>68</v>
      </c>
      <c r="AA57" t="s">
        <v>68</v>
      </c>
      <c r="AB57" t="s">
        <v>68</v>
      </c>
      <c r="AC57" t="s">
        <v>69</v>
      </c>
      <c r="AD57" t="s">
        <v>69</v>
      </c>
      <c r="AE57" t="s">
        <v>68</v>
      </c>
      <c r="AF57" t="s">
        <v>69</v>
      </c>
      <c r="AG57" t="s">
        <v>68</v>
      </c>
      <c r="AH57" t="s">
        <v>68</v>
      </c>
      <c r="AI57" t="s">
        <v>68</v>
      </c>
      <c r="AJ57" t="s">
        <v>68</v>
      </c>
      <c r="AK57" t="s">
        <v>68</v>
      </c>
      <c r="AL57" t="s">
        <v>68</v>
      </c>
      <c r="AM57" t="s">
        <v>68</v>
      </c>
      <c r="AN57" t="s">
        <v>68</v>
      </c>
      <c r="AO57" t="s">
        <v>68</v>
      </c>
      <c r="AP57" t="s">
        <v>68</v>
      </c>
      <c r="AQ57" t="s">
        <v>69</v>
      </c>
      <c r="AR57" t="s">
        <v>69</v>
      </c>
      <c r="AS57" t="s">
        <v>69</v>
      </c>
      <c r="AT57" t="s">
        <v>68</v>
      </c>
      <c r="AU57" t="s">
        <v>69</v>
      </c>
      <c r="AV57" t="s">
        <v>69</v>
      </c>
      <c r="AW57" t="s">
        <v>69</v>
      </c>
      <c r="AX57" t="s">
        <v>68</v>
      </c>
      <c r="AY57" t="s">
        <v>68</v>
      </c>
      <c r="AZ57" t="s">
        <v>68</v>
      </c>
      <c r="BA57" t="s">
        <v>68</v>
      </c>
      <c r="BB57">
        <f>((COUNTIF(W57:AB57, "Yes") + COUNTIF(AC57:AH57, "Yes") + COUNTIF(AI57:AO57, "Yes") + COUNTIF(AP57:AW57, "Yes") + COUNTIF(AX57:BA57, "Yes")) / 31) *100</f>
        <v>70.967741935483872</v>
      </c>
      <c r="BC57">
        <f>COUNTIF(W57:AB57, "Yes") + COUNTIF(AC57:AH57, "Yes") + COUNTIF(AI57:AO57, "Yes") + COUNTIF(AP57:AW57, "Yes") + COUNTIF(AX57:BA57, "Yes")</f>
        <v>22</v>
      </c>
      <c r="BD57" t="str">
        <f>IF(BB57 &lt;= 33, "Low", IF(BB57 &lt;= 66, "Moderate", "High"))</f>
        <v>High</v>
      </c>
      <c r="BE57" t="s">
        <v>76</v>
      </c>
      <c r="BF57" s="13" t="s">
        <v>77</v>
      </c>
      <c r="BG57" s="9">
        <v>2022</v>
      </c>
      <c r="BH57" s="10" t="s">
        <v>72</v>
      </c>
      <c r="BI57" s="8">
        <v>0.1</v>
      </c>
      <c r="BJ57" t="s">
        <v>78</v>
      </c>
    </row>
    <row r="58" spans="1:62" x14ac:dyDescent="0.35">
      <c r="A58" t="s">
        <v>218</v>
      </c>
      <c r="B58">
        <v>59.136666666666599</v>
      </c>
      <c r="C58">
        <v>9.9974999999999898</v>
      </c>
      <c r="D58" s="8">
        <v>3000</v>
      </c>
      <c r="E58" s="8" t="str">
        <f t="shared" si="4"/>
        <v>Medium</v>
      </c>
      <c r="F58" t="s">
        <v>63</v>
      </c>
      <c r="G58" t="s">
        <v>219</v>
      </c>
      <c r="H58">
        <v>2006</v>
      </c>
      <c r="I58" t="s">
        <v>65</v>
      </c>
      <c r="J58" t="s">
        <v>97</v>
      </c>
      <c r="L58" t="s">
        <v>67</v>
      </c>
      <c r="M58" t="s">
        <v>69</v>
      </c>
      <c r="N58" t="s">
        <v>69</v>
      </c>
      <c r="O58" t="s">
        <v>69</v>
      </c>
      <c r="P58" t="s">
        <v>68</v>
      </c>
      <c r="Q58" t="s">
        <v>68</v>
      </c>
      <c r="R58" t="s">
        <v>69</v>
      </c>
      <c r="S58" s="8">
        <f t="shared" si="5"/>
        <v>2</v>
      </c>
      <c r="T58" s="8">
        <v>0</v>
      </c>
      <c r="U58" s="8">
        <f t="shared" si="6"/>
        <v>33.333333333333329</v>
      </c>
      <c r="W58" t="s">
        <v>69</v>
      </c>
      <c r="X58" t="s">
        <v>68</v>
      </c>
      <c r="Y58" t="s">
        <v>69</v>
      </c>
      <c r="Z58" t="s">
        <v>69</v>
      </c>
      <c r="AA58" t="s">
        <v>69</v>
      </c>
      <c r="AB58" t="s">
        <v>69</v>
      </c>
      <c r="AC58" t="s">
        <v>69</v>
      </c>
      <c r="AD58" t="s">
        <v>69</v>
      </c>
      <c r="AE58" t="s">
        <v>69</v>
      </c>
      <c r="AF58" t="s">
        <v>69</v>
      </c>
      <c r="AG58" t="s">
        <v>68</v>
      </c>
      <c r="AH58" t="s">
        <v>69</v>
      </c>
      <c r="AI58" t="s">
        <v>69</v>
      </c>
      <c r="AJ58" t="s">
        <v>68</v>
      </c>
      <c r="AK58" t="s">
        <v>68</v>
      </c>
      <c r="AL58" t="s">
        <v>68</v>
      </c>
      <c r="AM58" t="s">
        <v>69</v>
      </c>
      <c r="AN58" t="s">
        <v>69</v>
      </c>
      <c r="AO58" t="s">
        <v>68</v>
      </c>
      <c r="AP58" t="s">
        <v>68</v>
      </c>
      <c r="AQ58" t="s">
        <v>69</v>
      </c>
      <c r="AR58" t="s">
        <v>68</v>
      </c>
      <c r="AS58" t="s">
        <v>68</v>
      </c>
      <c r="AT58" t="s">
        <v>68</v>
      </c>
      <c r="AU58" t="s">
        <v>68</v>
      </c>
      <c r="AV58" t="s">
        <v>68</v>
      </c>
      <c r="AW58" t="s">
        <v>69</v>
      </c>
      <c r="AX58" t="s">
        <v>68</v>
      </c>
      <c r="AY58" t="s">
        <v>68</v>
      </c>
      <c r="AZ58" t="s">
        <v>68</v>
      </c>
      <c r="BA58" t="s">
        <v>68</v>
      </c>
      <c r="BB58" t="s">
        <v>70</v>
      </c>
      <c r="BC58" t="s">
        <v>70</v>
      </c>
      <c r="BD58" t="s">
        <v>70</v>
      </c>
      <c r="BE58" t="s">
        <v>71</v>
      </c>
      <c r="BF58" t="s">
        <v>71</v>
      </c>
      <c r="BG58" s="9">
        <v>2020</v>
      </c>
      <c r="BH58" s="10" t="s">
        <v>93</v>
      </c>
      <c r="BI58" s="8"/>
      <c r="BJ58" t="s">
        <v>71</v>
      </c>
    </row>
    <row r="59" spans="1:62" x14ac:dyDescent="0.35">
      <c r="A59" t="s">
        <v>248</v>
      </c>
      <c r="B59">
        <v>31.5</v>
      </c>
      <c r="C59">
        <v>-6.45</v>
      </c>
      <c r="D59" s="8">
        <v>5730</v>
      </c>
      <c r="E59" s="8" t="str">
        <f t="shared" si="4"/>
        <v>Large</v>
      </c>
      <c r="F59" t="s">
        <v>249</v>
      </c>
      <c r="G59" t="s">
        <v>250</v>
      </c>
      <c r="H59">
        <v>2014</v>
      </c>
      <c r="I59" t="s">
        <v>87</v>
      </c>
      <c r="J59" t="s">
        <v>10</v>
      </c>
      <c r="K59" t="s">
        <v>251</v>
      </c>
      <c r="L59" t="s">
        <v>67</v>
      </c>
      <c r="M59" t="s">
        <v>68</v>
      </c>
      <c r="N59" t="s">
        <v>68</v>
      </c>
      <c r="O59" t="s">
        <v>68</v>
      </c>
      <c r="P59" t="s">
        <v>68</v>
      </c>
      <c r="Q59" t="s">
        <v>68</v>
      </c>
      <c r="R59" t="s">
        <v>69</v>
      </c>
      <c r="S59" s="8">
        <f t="shared" si="5"/>
        <v>5</v>
      </c>
      <c r="T59" s="8">
        <v>0</v>
      </c>
      <c r="U59" s="8">
        <f t="shared" si="6"/>
        <v>83.333333333333343</v>
      </c>
      <c r="V59" t="s">
        <v>252</v>
      </c>
      <c r="W59" t="s">
        <v>68</v>
      </c>
      <c r="X59" t="s">
        <v>68</v>
      </c>
      <c r="Y59" t="s">
        <v>68</v>
      </c>
      <c r="Z59" t="s">
        <v>68</v>
      </c>
      <c r="AA59" t="s">
        <v>69</v>
      </c>
      <c r="AB59" t="s">
        <v>69</v>
      </c>
      <c r="AC59" t="s">
        <v>69</v>
      </c>
      <c r="AD59" t="s">
        <v>68</v>
      </c>
      <c r="AE59" t="s">
        <v>68</v>
      </c>
      <c r="AF59" t="s">
        <v>68</v>
      </c>
      <c r="AG59" t="s">
        <v>68</v>
      </c>
      <c r="AH59" t="s">
        <v>69</v>
      </c>
      <c r="AI59" t="s">
        <v>68</v>
      </c>
      <c r="AJ59" t="s">
        <v>68</v>
      </c>
      <c r="AK59" t="s">
        <v>69</v>
      </c>
      <c r="AL59" t="s">
        <v>68</v>
      </c>
      <c r="AM59" t="s">
        <v>69</v>
      </c>
      <c r="AN59" t="s">
        <v>68</v>
      </c>
      <c r="AO59" t="s">
        <v>68</v>
      </c>
      <c r="AP59" t="s">
        <v>68</v>
      </c>
      <c r="AQ59" t="s">
        <v>69</v>
      </c>
      <c r="AR59" t="s">
        <v>68</v>
      </c>
      <c r="AS59" t="s">
        <v>68</v>
      </c>
      <c r="AT59" t="s">
        <v>68</v>
      </c>
      <c r="AU59" t="s">
        <v>68</v>
      </c>
      <c r="AV59" t="s">
        <v>69</v>
      </c>
      <c r="AW59" t="s">
        <v>69</v>
      </c>
      <c r="AX59" t="s">
        <v>68</v>
      </c>
      <c r="AY59" t="s">
        <v>68</v>
      </c>
      <c r="AZ59" t="s">
        <v>68</v>
      </c>
      <c r="BA59" t="s">
        <v>68</v>
      </c>
      <c r="BB59">
        <f>((COUNTIF(W59:AB59, "Yes") + COUNTIF(AC59:AH59, "Yes") + COUNTIF(AI59:AO59, "Yes") + COUNTIF(AP59:AW59, "Yes") + COUNTIF(AX59:BA59, "Yes")) / 31) *100</f>
        <v>70.967741935483872</v>
      </c>
      <c r="BC59">
        <f>COUNTIF(W59:AB59, "Yes") + COUNTIF(AC59:AH59, "Yes") + COUNTIF(AI59:AO59, "Yes") + COUNTIF(AP59:AW59, "Yes") + COUNTIF(AX59:BA59, "Yes")</f>
        <v>22</v>
      </c>
      <c r="BD59" t="str">
        <f>IF(BB59 &lt;= 33, "Low", IF(BB59 &lt;= 66, "Moderate", "High"))</f>
        <v>High</v>
      </c>
      <c r="BE59" t="s">
        <v>76</v>
      </c>
      <c r="BF59" s="13" t="s">
        <v>98</v>
      </c>
      <c r="BG59" s="9">
        <v>2022</v>
      </c>
      <c r="BH59" s="10" t="s">
        <v>72</v>
      </c>
      <c r="BI59" s="8">
        <v>0.1</v>
      </c>
      <c r="BJ59" t="s">
        <v>78</v>
      </c>
    </row>
    <row r="60" spans="1:62" x14ac:dyDescent="0.35">
      <c r="A60" t="s">
        <v>101</v>
      </c>
      <c r="B60">
        <v>46.003500000000003</v>
      </c>
      <c r="C60">
        <v>14.0286111111111</v>
      </c>
      <c r="D60" s="8">
        <v>294</v>
      </c>
      <c r="E60" s="8" t="str">
        <f t="shared" si="4"/>
        <v>Small</v>
      </c>
      <c r="F60" t="s">
        <v>63</v>
      </c>
      <c r="G60" t="s">
        <v>102</v>
      </c>
      <c r="H60">
        <v>2013</v>
      </c>
      <c r="I60" t="s">
        <v>87</v>
      </c>
      <c r="J60" t="s">
        <v>75</v>
      </c>
      <c r="L60" t="s">
        <v>67</v>
      </c>
      <c r="M60" t="s">
        <v>68</v>
      </c>
      <c r="N60" t="s">
        <v>68</v>
      </c>
      <c r="O60" t="s">
        <v>68</v>
      </c>
      <c r="P60" t="s">
        <v>68</v>
      </c>
      <c r="Q60" t="s">
        <v>68</v>
      </c>
      <c r="R60" t="s">
        <v>68</v>
      </c>
      <c r="S60" s="8">
        <f t="shared" si="5"/>
        <v>6</v>
      </c>
      <c r="T60" s="8">
        <v>0</v>
      </c>
      <c r="U60" s="8">
        <f t="shared" si="6"/>
        <v>100</v>
      </c>
      <c r="W60" t="s">
        <v>68</v>
      </c>
      <c r="X60" t="s">
        <v>68</v>
      </c>
      <c r="Y60" t="s">
        <v>68</v>
      </c>
      <c r="Z60" t="s">
        <v>68</v>
      </c>
      <c r="AA60" t="s">
        <v>69</v>
      </c>
      <c r="AB60" t="s">
        <v>68</v>
      </c>
      <c r="AC60" t="s">
        <v>69</v>
      </c>
      <c r="AD60" t="s">
        <v>68</v>
      </c>
      <c r="AE60" t="s">
        <v>68</v>
      </c>
      <c r="AF60" t="s">
        <v>68</v>
      </c>
      <c r="AG60" t="s">
        <v>68</v>
      </c>
      <c r="AH60" t="s">
        <v>68</v>
      </c>
      <c r="AI60" t="s">
        <v>68</v>
      </c>
      <c r="AJ60" t="s">
        <v>68</v>
      </c>
      <c r="AK60" t="s">
        <v>68</v>
      </c>
      <c r="AL60" t="s">
        <v>68</v>
      </c>
      <c r="AM60" t="s">
        <v>68</v>
      </c>
      <c r="AN60" t="s">
        <v>68</v>
      </c>
      <c r="AO60" t="s">
        <v>68</v>
      </c>
      <c r="AP60" t="s">
        <v>68</v>
      </c>
      <c r="AQ60" t="s">
        <v>69</v>
      </c>
      <c r="AR60" t="s">
        <v>68</v>
      </c>
      <c r="AS60" t="s">
        <v>68</v>
      </c>
      <c r="AT60" t="s">
        <v>68</v>
      </c>
      <c r="AU60" t="s">
        <v>68</v>
      </c>
      <c r="AV60" t="s">
        <v>68</v>
      </c>
      <c r="AW60" t="s">
        <v>68</v>
      </c>
      <c r="AX60" t="s">
        <v>68</v>
      </c>
      <c r="AY60" t="s">
        <v>68</v>
      </c>
      <c r="AZ60" t="s">
        <v>68</v>
      </c>
      <c r="BA60" t="s">
        <v>68</v>
      </c>
      <c r="BB60">
        <f>((COUNTIF(W60:AB60, "Yes") + COUNTIF(AC60:AH60, "Yes") + COUNTIF(AI60:AO60, "Yes") + COUNTIF(AP60:AW60, "Yes") + COUNTIF(AX60:BA60, "Yes")) / 31) *100</f>
        <v>90.322580645161281</v>
      </c>
      <c r="BC60">
        <f>COUNTIF(W60:AB60, "Yes") + COUNTIF(AC60:AH60, "Yes") + COUNTIF(AI60:AO60, "Yes") + COUNTIF(AP60:AW60, "Yes") + COUNTIF(AX60:BA60, "Yes")</f>
        <v>28</v>
      </c>
      <c r="BD60" t="str">
        <f>IF(BB60 &lt;= 33, "Low", IF(BB60 &lt;= 66, "Moderate", "High"))</f>
        <v>High</v>
      </c>
      <c r="BE60" t="s">
        <v>76</v>
      </c>
      <c r="BF60" s="13" t="s">
        <v>77</v>
      </c>
      <c r="BG60" s="9">
        <v>2021</v>
      </c>
      <c r="BH60" s="10" t="s">
        <v>93</v>
      </c>
      <c r="BJ60" t="s">
        <v>85</v>
      </c>
    </row>
    <row r="61" spans="1:62" x14ac:dyDescent="0.35">
      <c r="A61" t="s">
        <v>79</v>
      </c>
      <c r="B61">
        <v>30.650277777777699</v>
      </c>
      <c r="C61">
        <v>117.48333333333299</v>
      </c>
      <c r="D61" s="8">
        <v>139.69999999999999</v>
      </c>
      <c r="E61" s="8" t="str">
        <f t="shared" si="4"/>
        <v>Small</v>
      </c>
      <c r="F61" t="s">
        <v>80</v>
      </c>
      <c r="G61" t="s">
        <v>81</v>
      </c>
      <c r="H61">
        <v>2019</v>
      </c>
      <c r="I61" t="s">
        <v>82</v>
      </c>
      <c r="J61" t="s">
        <v>66</v>
      </c>
      <c r="L61" t="s">
        <v>67</v>
      </c>
      <c r="M61" t="s">
        <v>69</v>
      </c>
      <c r="N61" t="s">
        <v>69</v>
      </c>
      <c r="O61" t="s">
        <v>69</v>
      </c>
      <c r="P61" t="s">
        <v>68</v>
      </c>
      <c r="Q61" t="s">
        <v>68</v>
      </c>
      <c r="R61" t="s">
        <v>68</v>
      </c>
      <c r="S61" s="8">
        <f t="shared" si="5"/>
        <v>3</v>
      </c>
      <c r="T61" s="8">
        <v>0</v>
      </c>
      <c r="U61" s="8">
        <f t="shared" si="6"/>
        <v>50</v>
      </c>
      <c r="W61" t="s">
        <v>68</v>
      </c>
      <c r="X61" t="s">
        <v>68</v>
      </c>
      <c r="Y61" t="s">
        <v>68</v>
      </c>
      <c r="Z61" t="s">
        <v>68</v>
      </c>
      <c r="AA61" t="s">
        <v>69</v>
      </c>
      <c r="AB61" t="s">
        <v>69</v>
      </c>
      <c r="AC61" t="s">
        <v>68</v>
      </c>
      <c r="AD61" t="s">
        <v>68</v>
      </c>
      <c r="AE61" t="s">
        <v>68</v>
      </c>
      <c r="AF61" t="s">
        <v>68</v>
      </c>
      <c r="AG61" t="s">
        <v>68</v>
      </c>
      <c r="AH61" t="s">
        <v>68</v>
      </c>
      <c r="AI61" t="s">
        <v>68</v>
      </c>
      <c r="AJ61" t="s">
        <v>68</v>
      </c>
      <c r="AK61" t="s">
        <v>68</v>
      </c>
      <c r="AL61" t="s">
        <v>68</v>
      </c>
      <c r="AM61" t="s">
        <v>69</v>
      </c>
      <c r="AN61" t="s">
        <v>68</v>
      </c>
      <c r="AO61" t="s">
        <v>68</v>
      </c>
      <c r="AP61" t="s">
        <v>68</v>
      </c>
      <c r="AQ61" t="s">
        <v>68</v>
      </c>
      <c r="AR61" t="s">
        <v>68</v>
      </c>
      <c r="AS61" t="s">
        <v>68</v>
      </c>
      <c r="AT61" t="s">
        <v>68</v>
      </c>
      <c r="AU61" t="s">
        <v>68</v>
      </c>
      <c r="AV61" t="s">
        <v>68</v>
      </c>
      <c r="AW61" t="s">
        <v>68</v>
      </c>
      <c r="AX61" t="s">
        <v>68</v>
      </c>
      <c r="AY61" t="s">
        <v>68</v>
      </c>
      <c r="AZ61" t="s">
        <v>68</v>
      </c>
      <c r="BA61" t="s">
        <v>68</v>
      </c>
      <c r="BB61">
        <f>((COUNTIF(W61:AB61, "Yes") + COUNTIF(AC61:AH61, "Yes") + COUNTIF(AI61:AO61, "Yes") + COUNTIF(AP61:AW61, "Yes") + COUNTIF(AX61:BA61, "Yes")) / 31) *100</f>
        <v>90.322580645161281</v>
      </c>
      <c r="BC61">
        <f>COUNTIF(W61:AB61, "Yes") + COUNTIF(AC61:AH61, "Yes") + COUNTIF(AI61:AO61, "Yes") + COUNTIF(AP61:AW61, "Yes") + COUNTIF(AX61:BA61, "Yes")</f>
        <v>28</v>
      </c>
      <c r="BD61" t="str">
        <f>IF(BB61 &lt;= 33, "Low", IF(BB61 &lt;= 66, "Moderate", "High"))</f>
        <v>High</v>
      </c>
      <c r="BE61" t="s">
        <v>89</v>
      </c>
      <c r="BF61" s="13" t="s">
        <v>77</v>
      </c>
      <c r="BG61" s="9">
        <v>2021</v>
      </c>
      <c r="BH61" s="10" t="s">
        <v>93</v>
      </c>
      <c r="BI61" s="8">
        <v>0.1</v>
      </c>
      <c r="BJ61" t="s">
        <v>78</v>
      </c>
    </row>
    <row r="62" spans="1:62" x14ac:dyDescent="0.35">
      <c r="A62" t="s">
        <v>164</v>
      </c>
      <c r="B62">
        <v>-6.7686111111111096</v>
      </c>
      <c r="C62">
        <v>106.518611111111</v>
      </c>
      <c r="D62" s="8">
        <v>1260</v>
      </c>
      <c r="E62" s="8" t="str">
        <f t="shared" si="4"/>
        <v>Medium</v>
      </c>
      <c r="F62" t="s">
        <v>80</v>
      </c>
      <c r="G62" t="s">
        <v>165</v>
      </c>
      <c r="H62">
        <v>2018</v>
      </c>
      <c r="I62" t="s">
        <v>82</v>
      </c>
      <c r="J62" t="s">
        <v>10</v>
      </c>
      <c r="K62" t="s">
        <v>166</v>
      </c>
      <c r="L62" t="s">
        <v>67</v>
      </c>
      <c r="M62" t="s">
        <v>69</v>
      </c>
      <c r="N62" t="s">
        <v>69</v>
      </c>
      <c r="O62" t="s">
        <v>69</v>
      </c>
      <c r="P62" t="s">
        <v>68</v>
      </c>
      <c r="Q62" t="s">
        <v>68</v>
      </c>
      <c r="R62" t="s">
        <v>68</v>
      </c>
      <c r="S62" s="8">
        <f t="shared" si="5"/>
        <v>3</v>
      </c>
      <c r="T62" s="8">
        <v>0</v>
      </c>
      <c r="U62" s="8">
        <f t="shared" si="6"/>
        <v>50</v>
      </c>
      <c r="W62" t="s">
        <v>69</v>
      </c>
      <c r="X62" t="s">
        <v>68</v>
      </c>
      <c r="Y62" t="s">
        <v>68</v>
      </c>
      <c r="Z62" t="s">
        <v>69</v>
      </c>
      <c r="AA62" t="s">
        <v>69</v>
      </c>
      <c r="AB62" t="s">
        <v>69</v>
      </c>
      <c r="AC62" t="s">
        <v>69</v>
      </c>
      <c r="AD62" t="s">
        <v>69</v>
      </c>
      <c r="AE62" t="s">
        <v>69</v>
      </c>
      <c r="AF62" t="s">
        <v>69</v>
      </c>
      <c r="AG62" t="s">
        <v>68</v>
      </c>
      <c r="AH62" t="s">
        <v>69</v>
      </c>
      <c r="AI62" t="s">
        <v>69</v>
      </c>
      <c r="AJ62" t="s">
        <v>69</v>
      </c>
      <c r="AK62" t="s">
        <v>69</v>
      </c>
      <c r="AL62" t="s">
        <v>68</v>
      </c>
      <c r="AM62" t="s">
        <v>69</v>
      </c>
      <c r="AN62" t="s">
        <v>68</v>
      </c>
      <c r="AO62" t="s">
        <v>69</v>
      </c>
      <c r="AP62" t="s">
        <v>68</v>
      </c>
      <c r="AQ62" t="s">
        <v>69</v>
      </c>
      <c r="AR62" t="s">
        <v>69</v>
      </c>
      <c r="AS62" t="s">
        <v>69</v>
      </c>
      <c r="AT62" t="s">
        <v>68</v>
      </c>
      <c r="AU62" t="s">
        <v>69</v>
      </c>
      <c r="AV62" t="s">
        <v>69</v>
      </c>
      <c r="AW62" t="s">
        <v>68</v>
      </c>
      <c r="AX62" t="s">
        <v>68</v>
      </c>
      <c r="AY62" t="s">
        <v>69</v>
      </c>
      <c r="AZ62" t="s">
        <v>68</v>
      </c>
      <c r="BA62" t="s">
        <v>68</v>
      </c>
      <c r="BB62" t="s">
        <v>70</v>
      </c>
      <c r="BC62" t="s">
        <v>70</v>
      </c>
      <c r="BD62" t="s">
        <v>70</v>
      </c>
      <c r="BE62" t="s">
        <v>71</v>
      </c>
      <c r="BF62" t="s">
        <v>71</v>
      </c>
      <c r="BG62" s="9">
        <v>2022</v>
      </c>
      <c r="BH62" s="10" t="s">
        <v>72</v>
      </c>
      <c r="BI62" s="8"/>
      <c r="BJ62" t="s">
        <v>71</v>
      </c>
    </row>
    <row r="63" spans="1:62" x14ac:dyDescent="0.35">
      <c r="A63" t="s">
        <v>221</v>
      </c>
      <c r="B63">
        <v>22.7086111111111</v>
      </c>
      <c r="C63">
        <v>106.33194444444401</v>
      </c>
      <c r="D63" s="8">
        <v>3000</v>
      </c>
      <c r="E63" s="8" t="str">
        <f t="shared" si="4"/>
        <v>Medium</v>
      </c>
      <c r="F63" t="s">
        <v>80</v>
      </c>
      <c r="G63" t="s">
        <v>202</v>
      </c>
      <c r="H63">
        <v>2018</v>
      </c>
      <c r="I63" t="s">
        <v>82</v>
      </c>
      <c r="J63" t="s">
        <v>75</v>
      </c>
      <c r="L63" t="s">
        <v>67</v>
      </c>
      <c r="M63" t="s">
        <v>68</v>
      </c>
      <c r="N63" t="s">
        <v>69</v>
      </c>
      <c r="O63" t="s">
        <v>69</v>
      </c>
      <c r="P63" t="s">
        <v>68</v>
      </c>
      <c r="Q63" t="s">
        <v>68</v>
      </c>
      <c r="R63" t="s">
        <v>68</v>
      </c>
      <c r="S63" s="8">
        <f t="shared" si="5"/>
        <v>4</v>
      </c>
      <c r="T63" s="8">
        <v>0</v>
      </c>
      <c r="U63" s="8">
        <f t="shared" si="6"/>
        <v>66.666666666666657</v>
      </c>
      <c r="W63" t="s">
        <v>68</v>
      </c>
      <c r="X63" t="s">
        <v>68</v>
      </c>
      <c r="Y63" t="s">
        <v>68</v>
      </c>
      <c r="Z63" t="s">
        <v>68</v>
      </c>
      <c r="AA63" t="s">
        <v>69</v>
      </c>
      <c r="AB63" t="s">
        <v>69</v>
      </c>
      <c r="AC63" t="s">
        <v>68</v>
      </c>
      <c r="AD63" t="s">
        <v>68</v>
      </c>
      <c r="AE63" t="s">
        <v>69</v>
      </c>
      <c r="AF63" t="s">
        <v>68</v>
      </c>
      <c r="AG63" t="s">
        <v>69</v>
      </c>
      <c r="AH63" t="s">
        <v>68</v>
      </c>
      <c r="AI63" t="s">
        <v>68</v>
      </c>
      <c r="AJ63" t="s">
        <v>68</v>
      </c>
      <c r="AK63" t="s">
        <v>68</v>
      </c>
      <c r="AL63" t="s">
        <v>68</v>
      </c>
      <c r="AM63" t="s">
        <v>69</v>
      </c>
      <c r="AN63" t="s">
        <v>68</v>
      </c>
      <c r="AO63" t="s">
        <v>68</v>
      </c>
      <c r="AP63" t="s">
        <v>68</v>
      </c>
      <c r="AQ63" t="s">
        <v>69</v>
      </c>
      <c r="AR63" t="s">
        <v>68</v>
      </c>
      <c r="AS63" t="s">
        <v>68</v>
      </c>
      <c r="AT63" t="s">
        <v>68</v>
      </c>
      <c r="AU63" t="s">
        <v>69</v>
      </c>
      <c r="AV63" t="s">
        <v>68</v>
      </c>
      <c r="AW63" t="s">
        <v>69</v>
      </c>
      <c r="AX63" t="s">
        <v>68</v>
      </c>
      <c r="AY63" t="s">
        <v>68</v>
      </c>
      <c r="AZ63" t="s">
        <v>68</v>
      </c>
      <c r="BA63" t="s">
        <v>68</v>
      </c>
      <c r="BB63">
        <f>((COUNTIF(W63:AB63, "Yes") + COUNTIF(AC63:AH63, "Yes") + COUNTIF(AI63:AO63, "Yes") + COUNTIF(AP63:AW63, "Yes") + COUNTIF(AX63:BA63, "Yes")) / 31) *100</f>
        <v>74.193548387096769</v>
      </c>
      <c r="BC63">
        <f>COUNTIF(W63:AB63, "Yes") + COUNTIF(AC63:AH63, "Yes") + COUNTIF(AI63:AO63, "Yes") + COUNTIF(AP63:AW63, "Yes") + COUNTIF(AX63:BA63, "Yes")</f>
        <v>23</v>
      </c>
      <c r="BD63" t="str">
        <f>IF(BB63 &lt;= 33, "Low", IF(BB63 &lt;= 66, "Moderate", "High"))</f>
        <v>High</v>
      </c>
      <c r="BE63" t="s">
        <v>89</v>
      </c>
      <c r="BF63" s="13" t="s">
        <v>98</v>
      </c>
      <c r="BG63" s="9">
        <v>2023</v>
      </c>
      <c r="BH63" s="10" t="s">
        <v>72</v>
      </c>
      <c r="BJ63" t="s">
        <v>85</v>
      </c>
    </row>
    <row r="64" spans="1:62" x14ac:dyDescent="0.35">
      <c r="A64" t="s">
        <v>159</v>
      </c>
      <c r="B64">
        <v>37.897222222222197</v>
      </c>
      <c r="C64">
        <v>126.925</v>
      </c>
      <c r="D64" s="8">
        <v>1165.6099999999999</v>
      </c>
      <c r="E64" s="8" t="str">
        <f t="shared" si="4"/>
        <v>Medium</v>
      </c>
      <c r="F64" t="s">
        <v>80</v>
      </c>
      <c r="G64" t="s">
        <v>152</v>
      </c>
      <c r="H64">
        <v>2020</v>
      </c>
      <c r="I64" t="s">
        <v>82</v>
      </c>
      <c r="J64" t="s">
        <v>66</v>
      </c>
      <c r="L64" t="s">
        <v>67</v>
      </c>
      <c r="M64" t="s">
        <v>68</v>
      </c>
      <c r="N64" t="s">
        <v>68</v>
      </c>
      <c r="O64" t="s">
        <v>69</v>
      </c>
      <c r="P64" t="s">
        <v>69</v>
      </c>
      <c r="Q64" t="s">
        <v>68</v>
      </c>
      <c r="R64" t="s">
        <v>69</v>
      </c>
      <c r="S64" s="8">
        <f t="shared" si="5"/>
        <v>3</v>
      </c>
      <c r="T64" s="8">
        <v>0</v>
      </c>
      <c r="U64" s="8">
        <f t="shared" si="6"/>
        <v>50</v>
      </c>
      <c r="W64" t="s">
        <v>68</v>
      </c>
      <c r="X64" t="s">
        <v>68</v>
      </c>
      <c r="Y64" s="12" t="s">
        <v>68</v>
      </c>
      <c r="Z64" t="s">
        <v>69</v>
      </c>
      <c r="AA64" t="s">
        <v>69</v>
      </c>
      <c r="AB64" s="12" t="s">
        <v>68</v>
      </c>
      <c r="AC64" t="s">
        <v>69</v>
      </c>
      <c r="AD64" t="s">
        <v>69</v>
      </c>
      <c r="AE64" t="s">
        <v>68</v>
      </c>
      <c r="AF64" t="s">
        <v>69</v>
      </c>
      <c r="AG64" t="s">
        <v>69</v>
      </c>
      <c r="AH64" t="s">
        <v>68</v>
      </c>
      <c r="AI64" t="s">
        <v>68</v>
      </c>
      <c r="AJ64" t="s">
        <v>69</v>
      </c>
      <c r="AK64" t="s">
        <v>68</v>
      </c>
      <c r="AL64" s="12" t="s">
        <v>68</v>
      </c>
      <c r="AM64" t="s">
        <v>69</v>
      </c>
      <c r="AN64" t="s">
        <v>69</v>
      </c>
      <c r="AO64" t="s">
        <v>69</v>
      </c>
      <c r="AP64" t="s">
        <v>68</v>
      </c>
      <c r="AQ64" t="s">
        <v>69</v>
      </c>
      <c r="AR64" t="s">
        <v>69</v>
      </c>
      <c r="AS64" t="s">
        <v>68</v>
      </c>
      <c r="AT64" t="s">
        <v>68</v>
      </c>
      <c r="AU64" t="s">
        <v>69</v>
      </c>
      <c r="AV64" t="s">
        <v>68</v>
      </c>
      <c r="AW64" t="s">
        <v>69</v>
      </c>
      <c r="AX64" s="12" t="s">
        <v>68</v>
      </c>
      <c r="AY64" t="s">
        <v>68</v>
      </c>
      <c r="AZ64" t="s">
        <v>69</v>
      </c>
      <c r="BA64" t="s">
        <v>68</v>
      </c>
      <c r="BB64">
        <f>((COUNTIF(W64:AB64, "Yes") + COUNTIF(AC64:AH64, "Yes") + COUNTIF(AI64:AO64, "Yes") + COUNTIF(AP64:AW64, "Yes") + COUNTIF(AX64:BA64, "Yes")) / 31) *100</f>
        <v>51.612903225806448</v>
      </c>
      <c r="BC64">
        <f>COUNTIF(W64:AB64, "Yes") + COUNTIF(AC64:AH64, "Yes") + COUNTIF(AI64:AO64, "Yes") + COUNTIF(AP64:AW64, "Yes") + COUNTIF(AX64:BA64, "Yes")</f>
        <v>16</v>
      </c>
      <c r="BD64" t="str">
        <f>IF(BB64 &lt;= 33, "Low", IF(BB64 &lt;= 66, "Moderate", "High"))</f>
        <v>Moderate</v>
      </c>
      <c r="BE64" t="s">
        <v>89</v>
      </c>
      <c r="BF64" s="13" t="s">
        <v>83</v>
      </c>
      <c r="BG64" s="9">
        <v>2023</v>
      </c>
      <c r="BH64" s="10" t="s">
        <v>72</v>
      </c>
      <c r="BI64" s="8">
        <v>0.25</v>
      </c>
      <c r="BJ64" t="s">
        <v>78</v>
      </c>
    </row>
    <row r="65" spans="1:62" x14ac:dyDescent="0.35">
      <c r="A65" t="s">
        <v>211</v>
      </c>
      <c r="B65">
        <v>28.3880555555555</v>
      </c>
      <c r="C65">
        <v>109.52527777777701</v>
      </c>
      <c r="D65" s="8">
        <v>2710</v>
      </c>
      <c r="E65" s="8" t="str">
        <f t="shared" si="4"/>
        <v>Medium</v>
      </c>
      <c r="F65" t="s">
        <v>80</v>
      </c>
      <c r="G65" t="s">
        <v>81</v>
      </c>
      <c r="H65">
        <v>2020</v>
      </c>
      <c r="I65" t="s">
        <v>82</v>
      </c>
      <c r="J65" t="s">
        <v>66</v>
      </c>
      <c r="L65" t="s">
        <v>67</v>
      </c>
      <c r="M65" t="s">
        <v>68</v>
      </c>
      <c r="N65" t="s">
        <v>69</v>
      </c>
      <c r="O65" t="s">
        <v>69</v>
      </c>
      <c r="P65" t="s">
        <v>68</v>
      </c>
      <c r="Q65" t="s">
        <v>68</v>
      </c>
      <c r="R65" t="s">
        <v>69</v>
      </c>
      <c r="S65" s="8">
        <f t="shared" si="5"/>
        <v>3</v>
      </c>
      <c r="T65" s="8">
        <v>0</v>
      </c>
      <c r="U65" s="8">
        <f t="shared" si="6"/>
        <v>50</v>
      </c>
      <c r="W65" t="s">
        <v>68</v>
      </c>
      <c r="X65" t="s">
        <v>68</v>
      </c>
      <c r="Y65" t="s">
        <v>68</v>
      </c>
      <c r="Z65" t="s">
        <v>69</v>
      </c>
      <c r="AA65" t="s">
        <v>69</v>
      </c>
      <c r="AB65" t="s">
        <v>69</v>
      </c>
      <c r="AC65" t="s">
        <v>68</v>
      </c>
      <c r="AD65" t="s">
        <v>68</v>
      </c>
      <c r="AE65" t="s">
        <v>68</v>
      </c>
      <c r="AF65" t="s">
        <v>69</v>
      </c>
      <c r="AG65" t="s">
        <v>69</v>
      </c>
      <c r="AH65" t="s">
        <v>68</v>
      </c>
      <c r="AI65" t="s">
        <v>68</v>
      </c>
      <c r="AJ65" t="s">
        <v>68</v>
      </c>
      <c r="AK65" t="s">
        <v>68</v>
      </c>
      <c r="AL65" t="s">
        <v>69</v>
      </c>
      <c r="AM65" t="s">
        <v>69</v>
      </c>
      <c r="AN65" t="s">
        <v>69</v>
      </c>
      <c r="AO65" t="s">
        <v>69</v>
      </c>
      <c r="AP65" t="s">
        <v>68</v>
      </c>
      <c r="AQ65" t="s">
        <v>68</v>
      </c>
      <c r="AR65" t="s">
        <v>68</v>
      </c>
      <c r="AS65" t="s">
        <v>69</v>
      </c>
      <c r="AT65" t="s">
        <v>68</v>
      </c>
      <c r="AU65" t="s">
        <v>69</v>
      </c>
      <c r="AV65" t="s">
        <v>68</v>
      </c>
      <c r="AW65" t="s">
        <v>69</v>
      </c>
      <c r="AX65" t="s">
        <v>69</v>
      </c>
      <c r="AY65" t="s">
        <v>68</v>
      </c>
      <c r="AZ65" t="s">
        <v>68</v>
      </c>
      <c r="BA65" t="s">
        <v>68</v>
      </c>
      <c r="BB65" t="s">
        <v>70</v>
      </c>
      <c r="BC65" t="s">
        <v>70</v>
      </c>
      <c r="BD65" t="s">
        <v>70</v>
      </c>
      <c r="BE65" t="s">
        <v>71</v>
      </c>
      <c r="BF65" t="s">
        <v>71</v>
      </c>
      <c r="BG65" s="9">
        <v>2023</v>
      </c>
      <c r="BH65" s="10" t="s">
        <v>72</v>
      </c>
      <c r="BI65" s="8"/>
      <c r="BJ65" t="s">
        <v>71</v>
      </c>
    </row>
    <row r="66" spans="1:62" x14ac:dyDescent="0.35">
      <c r="A66" t="s">
        <v>241</v>
      </c>
      <c r="B66">
        <v>12.257099999999999</v>
      </c>
      <c r="C66">
        <v>107.7903</v>
      </c>
      <c r="D66" s="8">
        <v>4760</v>
      </c>
      <c r="E66" s="8" t="str">
        <f t="shared" ref="E66:E97" si="8">IF(D66&lt;1000,"Small",IF(D66&lt;=5000,"Medium",IF(D66&lt;=10000,"Large","Very Large")))</f>
        <v>Medium</v>
      </c>
      <c r="F66" t="s">
        <v>80</v>
      </c>
      <c r="G66" t="s">
        <v>202</v>
      </c>
      <c r="H66">
        <v>2020</v>
      </c>
      <c r="I66" t="s">
        <v>82</v>
      </c>
      <c r="J66" t="s">
        <v>75</v>
      </c>
      <c r="L66" t="s">
        <v>67</v>
      </c>
      <c r="M66" t="s">
        <v>68</v>
      </c>
      <c r="N66" t="s">
        <v>69</v>
      </c>
      <c r="O66" t="s">
        <v>69</v>
      </c>
      <c r="P66" t="s">
        <v>68</v>
      </c>
      <c r="Q66" t="s">
        <v>68</v>
      </c>
      <c r="R66" t="s">
        <v>68</v>
      </c>
      <c r="S66" s="8">
        <f t="shared" ref="S66:S97" si="9">COUNTIF(M66:R66, "Yes")</f>
        <v>4</v>
      </c>
      <c r="T66" s="8">
        <v>0</v>
      </c>
      <c r="U66" s="8">
        <f t="shared" ref="U66:U97" si="10">(COUNTIF(M66:R66, "Yes")/6)*100</f>
        <v>66.666666666666657</v>
      </c>
      <c r="W66" t="s">
        <v>68</v>
      </c>
      <c r="X66" t="s">
        <v>68</v>
      </c>
      <c r="Y66" t="s">
        <v>68</v>
      </c>
      <c r="Z66" t="s">
        <v>68</v>
      </c>
      <c r="AA66" t="s">
        <v>69</v>
      </c>
      <c r="AB66" t="s">
        <v>69</v>
      </c>
      <c r="AC66" t="s">
        <v>68</v>
      </c>
      <c r="AD66" t="s">
        <v>68</v>
      </c>
      <c r="AE66" t="s">
        <v>69</v>
      </c>
      <c r="AF66" t="s">
        <v>68</v>
      </c>
      <c r="AG66" t="s">
        <v>69</v>
      </c>
      <c r="AH66" t="s">
        <v>68</v>
      </c>
      <c r="AI66" t="s">
        <v>68</v>
      </c>
      <c r="AJ66" t="s">
        <v>68</v>
      </c>
      <c r="AK66" t="s">
        <v>68</v>
      </c>
      <c r="AL66" t="s">
        <v>68</v>
      </c>
      <c r="AM66" t="s">
        <v>69</v>
      </c>
      <c r="AN66" t="s">
        <v>68</v>
      </c>
      <c r="AO66" t="s">
        <v>68</v>
      </c>
      <c r="AP66" t="s">
        <v>68</v>
      </c>
      <c r="AQ66" t="s">
        <v>69</v>
      </c>
      <c r="AR66" t="s">
        <v>68</v>
      </c>
      <c r="AS66" t="s">
        <v>68</v>
      </c>
      <c r="AT66" t="s">
        <v>68</v>
      </c>
      <c r="AU66" t="s">
        <v>69</v>
      </c>
      <c r="AV66" t="s">
        <v>68</v>
      </c>
      <c r="AW66" t="s">
        <v>69</v>
      </c>
      <c r="AX66" t="s">
        <v>68</v>
      </c>
      <c r="AY66" t="s">
        <v>68</v>
      </c>
      <c r="AZ66" t="s">
        <v>68</v>
      </c>
      <c r="BA66" t="s">
        <v>68</v>
      </c>
      <c r="BB66">
        <f>((COUNTIF(W66:AB66, "Yes") + COUNTIF(AC66:AH66, "Yes") + COUNTIF(AI66:AO66, "Yes") + COUNTIF(AP66:AW66, "Yes") + COUNTIF(AX66:BA66, "Yes")) / 31) *100</f>
        <v>74.193548387096769</v>
      </c>
      <c r="BC66">
        <f>COUNTIF(W66:AB66, "Yes") + COUNTIF(AC66:AH66, "Yes") + COUNTIF(AI66:AO66, "Yes") + COUNTIF(AP66:AW66, "Yes") + COUNTIF(AX66:BA66, "Yes")</f>
        <v>23</v>
      </c>
      <c r="BD66" t="str">
        <f>IF(BB66 &lt;= 33, "Low", IF(BB66 &lt;= 66, "Moderate", "High"))</f>
        <v>High</v>
      </c>
      <c r="BE66" t="s">
        <v>76</v>
      </c>
      <c r="BF66" s="13" t="s">
        <v>98</v>
      </c>
      <c r="BH66" s="10" t="s">
        <v>99</v>
      </c>
      <c r="BI66" s="8">
        <v>0.1</v>
      </c>
      <c r="BJ66" t="s">
        <v>78</v>
      </c>
    </row>
    <row r="67" spans="1:62" x14ac:dyDescent="0.35">
      <c r="A67" t="s">
        <v>113</v>
      </c>
      <c r="B67">
        <v>17.518055555555499</v>
      </c>
      <c r="C67">
        <v>-97.342222222222205</v>
      </c>
      <c r="D67" s="8">
        <v>415.4</v>
      </c>
      <c r="E67" s="8" t="str">
        <f t="shared" si="8"/>
        <v>Small</v>
      </c>
      <c r="F67" t="s">
        <v>114</v>
      </c>
      <c r="G67" t="s">
        <v>115</v>
      </c>
      <c r="H67">
        <v>2017</v>
      </c>
      <c r="I67" t="s">
        <v>82</v>
      </c>
      <c r="J67" t="s">
        <v>10</v>
      </c>
      <c r="K67" t="s">
        <v>116</v>
      </c>
      <c r="L67" t="s">
        <v>67</v>
      </c>
      <c r="M67" t="s">
        <v>68</v>
      </c>
      <c r="N67" t="s">
        <v>69</v>
      </c>
      <c r="O67" t="s">
        <v>69</v>
      </c>
      <c r="P67" t="s">
        <v>69</v>
      </c>
      <c r="Q67" t="s">
        <v>69</v>
      </c>
      <c r="R67" t="s">
        <v>68</v>
      </c>
      <c r="S67" s="8">
        <f t="shared" si="9"/>
        <v>2</v>
      </c>
      <c r="T67" s="8">
        <v>0</v>
      </c>
      <c r="U67" s="8">
        <f t="shared" si="10"/>
        <v>33.333333333333329</v>
      </c>
      <c r="W67" t="s">
        <v>68</v>
      </c>
      <c r="X67" t="s">
        <v>68</v>
      </c>
      <c r="Y67" t="s">
        <v>68</v>
      </c>
      <c r="Z67" t="s">
        <v>68</v>
      </c>
      <c r="AA67" t="s">
        <v>68</v>
      </c>
      <c r="AB67" t="s">
        <v>69</v>
      </c>
      <c r="AC67" t="s">
        <v>69</v>
      </c>
      <c r="AD67" t="s">
        <v>69</v>
      </c>
      <c r="AE67" t="s">
        <v>69</v>
      </c>
      <c r="AF67" t="s">
        <v>69</v>
      </c>
      <c r="AG67" t="s">
        <v>69</v>
      </c>
      <c r="AH67" t="s">
        <v>69</v>
      </c>
      <c r="AI67" t="s">
        <v>68</v>
      </c>
      <c r="AJ67" t="s">
        <v>68</v>
      </c>
      <c r="AK67" t="s">
        <v>68</v>
      </c>
      <c r="AL67" t="s">
        <v>68</v>
      </c>
      <c r="AM67" t="s">
        <v>69</v>
      </c>
      <c r="AN67" t="s">
        <v>69</v>
      </c>
      <c r="AO67" t="s">
        <v>69</v>
      </c>
      <c r="AP67" t="s">
        <v>68</v>
      </c>
      <c r="AQ67" t="s">
        <v>69</v>
      </c>
      <c r="AR67" t="s">
        <v>69</v>
      </c>
      <c r="AS67" t="s">
        <v>69</v>
      </c>
      <c r="AT67" t="s">
        <v>68</v>
      </c>
      <c r="AU67" t="s">
        <v>69</v>
      </c>
      <c r="AV67" t="s">
        <v>68</v>
      </c>
      <c r="AW67" t="s">
        <v>69</v>
      </c>
      <c r="AX67" t="s">
        <v>68</v>
      </c>
      <c r="AY67" t="s">
        <v>68</v>
      </c>
      <c r="AZ67" t="s">
        <v>68</v>
      </c>
      <c r="BA67" t="s">
        <v>68</v>
      </c>
      <c r="BB67" t="s">
        <v>70</v>
      </c>
      <c r="BC67" t="s">
        <v>70</v>
      </c>
      <c r="BD67" t="s">
        <v>70</v>
      </c>
      <c r="BE67" t="s">
        <v>71</v>
      </c>
      <c r="BF67" t="s">
        <v>71</v>
      </c>
      <c r="BH67" s="10" t="s">
        <v>99</v>
      </c>
      <c r="BJ67" t="s">
        <v>71</v>
      </c>
    </row>
    <row r="68" spans="1:62" x14ac:dyDescent="0.35">
      <c r="A68" t="s">
        <v>224</v>
      </c>
      <c r="B68">
        <v>15.500746944444399</v>
      </c>
      <c r="C68">
        <v>102.831001388888</v>
      </c>
      <c r="D68" s="8">
        <v>3167</v>
      </c>
      <c r="E68" s="8" t="str">
        <f t="shared" si="8"/>
        <v>Medium</v>
      </c>
      <c r="F68" t="s">
        <v>80</v>
      </c>
      <c r="G68" t="s">
        <v>225</v>
      </c>
      <c r="H68">
        <v>2023</v>
      </c>
      <c r="I68" t="s">
        <v>82</v>
      </c>
      <c r="J68" t="s">
        <v>10</v>
      </c>
      <c r="K68" t="s">
        <v>226</v>
      </c>
      <c r="L68" t="s">
        <v>67</v>
      </c>
      <c r="M68" t="s">
        <v>69</v>
      </c>
      <c r="N68" t="s">
        <v>69</v>
      </c>
      <c r="O68" t="s">
        <v>69</v>
      </c>
      <c r="P68" t="s">
        <v>68</v>
      </c>
      <c r="Q68" t="s">
        <v>68</v>
      </c>
      <c r="R68" t="s">
        <v>69</v>
      </c>
      <c r="S68" s="8">
        <f t="shared" si="9"/>
        <v>2</v>
      </c>
      <c r="T68" s="8">
        <v>0</v>
      </c>
      <c r="U68" s="8">
        <f t="shared" si="10"/>
        <v>33.333333333333329</v>
      </c>
      <c r="W68" t="s">
        <v>68</v>
      </c>
      <c r="X68" t="s">
        <v>68</v>
      </c>
      <c r="Y68" t="s">
        <v>68</v>
      </c>
      <c r="Z68" t="s">
        <v>69</v>
      </c>
      <c r="AA68" t="s">
        <v>69</v>
      </c>
      <c r="AB68" t="s">
        <v>68</v>
      </c>
      <c r="AC68" t="s">
        <v>69</v>
      </c>
      <c r="AD68" t="s">
        <v>69</v>
      </c>
      <c r="AE68" t="s">
        <v>68</v>
      </c>
      <c r="AF68" t="s">
        <v>68</v>
      </c>
      <c r="AG68" t="s">
        <v>68</v>
      </c>
      <c r="AH68" t="s">
        <v>69</v>
      </c>
      <c r="AI68" t="s">
        <v>69</v>
      </c>
      <c r="AJ68" t="s">
        <v>68</v>
      </c>
      <c r="AK68" t="s">
        <v>68</v>
      </c>
      <c r="AL68" t="s">
        <v>69</v>
      </c>
      <c r="AM68" t="s">
        <v>69</v>
      </c>
      <c r="AN68" t="s">
        <v>69</v>
      </c>
      <c r="AO68" t="s">
        <v>68</v>
      </c>
      <c r="AP68" t="s">
        <v>68</v>
      </c>
      <c r="AQ68" t="s">
        <v>68</v>
      </c>
      <c r="AR68" t="s">
        <v>69</v>
      </c>
      <c r="AS68" t="s">
        <v>68</v>
      </c>
      <c r="AT68" t="s">
        <v>68</v>
      </c>
      <c r="AU68" t="s">
        <v>68</v>
      </c>
      <c r="AV68" t="s">
        <v>68</v>
      </c>
      <c r="AW68" t="s">
        <v>69</v>
      </c>
      <c r="AX68" t="s">
        <v>68</v>
      </c>
      <c r="AY68" t="s">
        <v>68</v>
      </c>
      <c r="AZ68" t="s">
        <v>68</v>
      </c>
      <c r="BA68" t="s">
        <v>68</v>
      </c>
      <c r="BB68">
        <f>((COUNTIF(W68:AB68, "Yes") + COUNTIF(AC68:AH68, "Yes") + COUNTIF(AI68:AO68, "Yes") + COUNTIF(AP68:AW68, "Yes") + COUNTIF(AX68:BA68, "Yes")) / 31) *100</f>
        <v>64.516129032258064</v>
      </c>
      <c r="BC68">
        <f>COUNTIF(W68:AB68, "Yes") + COUNTIF(AC68:AH68, "Yes") + COUNTIF(AI68:AO68, "Yes") + COUNTIF(AP68:AW68, "Yes") + COUNTIF(AX68:BA68, "Yes")</f>
        <v>20</v>
      </c>
      <c r="BD68" t="str">
        <f t="shared" ref="BD68:BD84" si="11">IF(BB68 &lt;= 33, "Low", IF(BB68 &lt;= 66, "Moderate", "High"))</f>
        <v>Moderate</v>
      </c>
      <c r="BE68" t="s">
        <v>89</v>
      </c>
      <c r="BF68" s="13" t="s">
        <v>98</v>
      </c>
      <c r="BH68" s="10" t="s">
        <v>99</v>
      </c>
      <c r="BJ68" t="s">
        <v>85</v>
      </c>
    </row>
    <row r="69" spans="1:62" x14ac:dyDescent="0.35">
      <c r="A69" t="s">
        <v>243</v>
      </c>
      <c r="B69">
        <v>-1.8495016666666599</v>
      </c>
      <c r="C69">
        <v>101.92565916666599</v>
      </c>
      <c r="D69" s="8">
        <v>4832.3100000000004</v>
      </c>
      <c r="E69" s="8" t="str">
        <f t="shared" si="8"/>
        <v>Medium</v>
      </c>
      <c r="F69" t="s">
        <v>80</v>
      </c>
      <c r="G69" t="s">
        <v>165</v>
      </c>
      <c r="H69">
        <v>2023</v>
      </c>
      <c r="I69" t="s">
        <v>82</v>
      </c>
      <c r="J69" t="s">
        <v>97</v>
      </c>
      <c r="L69" t="s">
        <v>67</v>
      </c>
      <c r="M69" t="s">
        <v>68</v>
      </c>
      <c r="N69" t="s">
        <v>69</v>
      </c>
      <c r="O69" t="s">
        <v>68</v>
      </c>
      <c r="P69" t="s">
        <v>68</v>
      </c>
      <c r="Q69" t="s">
        <v>68</v>
      </c>
      <c r="R69" t="s">
        <v>68</v>
      </c>
      <c r="S69" s="8">
        <f t="shared" si="9"/>
        <v>5</v>
      </c>
      <c r="T69" s="8">
        <v>0</v>
      </c>
      <c r="U69" s="8">
        <f t="shared" si="10"/>
        <v>83.333333333333343</v>
      </c>
      <c r="W69" t="s">
        <v>68</v>
      </c>
      <c r="X69" t="s">
        <v>68</v>
      </c>
      <c r="Y69" t="s">
        <v>68</v>
      </c>
      <c r="Z69" t="s">
        <v>68</v>
      </c>
      <c r="AA69" t="s">
        <v>69</v>
      </c>
      <c r="AB69" t="s">
        <v>69</v>
      </c>
      <c r="AC69" t="s">
        <v>68</v>
      </c>
      <c r="AD69" t="s">
        <v>68</v>
      </c>
      <c r="AE69" t="s">
        <v>68</v>
      </c>
      <c r="AF69" t="s">
        <v>69</v>
      </c>
      <c r="AG69" t="s">
        <v>68</v>
      </c>
      <c r="AH69" t="s">
        <v>68</v>
      </c>
      <c r="AI69" t="s">
        <v>68</v>
      </c>
      <c r="AJ69" t="s">
        <v>68</v>
      </c>
      <c r="AK69" t="s">
        <v>68</v>
      </c>
      <c r="AL69" t="s">
        <v>68</v>
      </c>
      <c r="AM69" t="s">
        <v>69</v>
      </c>
      <c r="AN69" t="s">
        <v>68</v>
      </c>
      <c r="AO69" t="s">
        <v>69</v>
      </c>
      <c r="AP69" t="s">
        <v>68</v>
      </c>
      <c r="AQ69" t="s">
        <v>69</v>
      </c>
      <c r="AR69" t="s">
        <v>68</v>
      </c>
      <c r="AS69" t="s">
        <v>68</v>
      </c>
      <c r="AT69" t="s">
        <v>68</v>
      </c>
      <c r="AU69" t="s">
        <v>69</v>
      </c>
      <c r="AV69" t="s">
        <v>68</v>
      </c>
      <c r="AW69" t="s">
        <v>69</v>
      </c>
      <c r="AX69" t="s">
        <v>68</v>
      </c>
      <c r="AY69" t="s">
        <v>68</v>
      </c>
      <c r="AZ69" t="s">
        <v>68</v>
      </c>
      <c r="BA69" t="s">
        <v>69</v>
      </c>
      <c r="BB69">
        <f>((COUNTIF(W69:AB69, "Yes") + COUNTIF(AC69:AH69, "Yes") + COUNTIF(AI69:AO69, "Yes") + COUNTIF(AP69:AW69, "Yes") + COUNTIF(AX69:BA69, "Yes")) / 31) *100</f>
        <v>70.967741935483872</v>
      </c>
      <c r="BC69">
        <f>COUNTIF(W69:AB69, "Yes") + COUNTIF(AC69:AH69, "Yes") + COUNTIF(AI69:AO69, "Yes") + COUNTIF(AP69:AW69, "Yes") + COUNTIF(AX69:BA69, "Yes")</f>
        <v>22</v>
      </c>
      <c r="BD69" t="str">
        <f t="shared" si="11"/>
        <v>High</v>
      </c>
      <c r="BE69" t="s">
        <v>89</v>
      </c>
      <c r="BF69" s="13" t="s">
        <v>72</v>
      </c>
      <c r="BG69" s="9">
        <v>2021</v>
      </c>
      <c r="BH69" s="10" t="s">
        <v>93</v>
      </c>
      <c r="BJ69" t="s">
        <v>85</v>
      </c>
    </row>
    <row r="70" spans="1:62" x14ac:dyDescent="0.35">
      <c r="A70" t="s">
        <v>239</v>
      </c>
      <c r="B70">
        <v>56.552100000000003</v>
      </c>
      <c r="C70">
        <v>8.3056000000000001</v>
      </c>
      <c r="D70" s="14">
        <v>4759</v>
      </c>
      <c r="E70" s="8" t="str">
        <f t="shared" si="8"/>
        <v>Medium</v>
      </c>
      <c r="F70" t="s">
        <v>63</v>
      </c>
      <c r="G70" t="s">
        <v>108</v>
      </c>
      <c r="H70">
        <v>2021</v>
      </c>
      <c r="I70" t="s">
        <v>82</v>
      </c>
      <c r="J70" t="s">
        <v>75</v>
      </c>
      <c r="L70" t="s">
        <v>67</v>
      </c>
      <c r="M70" t="s">
        <v>69</v>
      </c>
      <c r="N70" t="s">
        <v>69</v>
      </c>
      <c r="O70" t="s">
        <v>69</v>
      </c>
      <c r="P70" t="s">
        <v>68</v>
      </c>
      <c r="Q70" t="s">
        <v>68</v>
      </c>
      <c r="R70" t="s">
        <v>69</v>
      </c>
      <c r="S70" s="8">
        <f t="shared" si="9"/>
        <v>2</v>
      </c>
      <c r="T70" s="8">
        <v>0</v>
      </c>
      <c r="U70" s="8">
        <f t="shared" si="10"/>
        <v>33.333333333333329</v>
      </c>
      <c r="W70" t="s">
        <v>68</v>
      </c>
      <c r="X70" t="s">
        <v>68</v>
      </c>
      <c r="Y70" t="s">
        <v>68</v>
      </c>
      <c r="Z70" t="s">
        <v>69</v>
      </c>
      <c r="AA70" t="s">
        <v>69</v>
      </c>
      <c r="AB70" t="s">
        <v>69</v>
      </c>
      <c r="AC70" t="s">
        <v>68</v>
      </c>
      <c r="AD70" t="s">
        <v>68</v>
      </c>
      <c r="AE70" t="s">
        <v>69</v>
      </c>
      <c r="AF70" t="s">
        <v>69</v>
      </c>
      <c r="AG70" t="s">
        <v>68</v>
      </c>
      <c r="AH70" t="s">
        <v>68</v>
      </c>
      <c r="AI70" t="s">
        <v>68</v>
      </c>
      <c r="AJ70" t="s">
        <v>68</v>
      </c>
      <c r="AK70" t="s">
        <v>69</v>
      </c>
      <c r="AL70" t="s">
        <v>68</v>
      </c>
      <c r="AM70" t="s">
        <v>69</v>
      </c>
      <c r="AN70" t="s">
        <v>69</v>
      </c>
      <c r="AO70" t="s">
        <v>68</v>
      </c>
      <c r="AP70" t="s">
        <v>68</v>
      </c>
      <c r="AQ70" t="s">
        <v>68</v>
      </c>
      <c r="AR70" t="s">
        <v>69</v>
      </c>
      <c r="AS70" t="s">
        <v>69</v>
      </c>
      <c r="AT70" t="s">
        <v>68</v>
      </c>
      <c r="AU70" t="s">
        <v>69</v>
      </c>
      <c r="AV70" t="s">
        <v>69</v>
      </c>
      <c r="AW70" t="s">
        <v>69</v>
      </c>
      <c r="AX70" t="s">
        <v>68</v>
      </c>
      <c r="AY70" t="s">
        <v>68</v>
      </c>
      <c r="AZ70" t="s">
        <v>68</v>
      </c>
      <c r="BA70" t="s">
        <v>68</v>
      </c>
      <c r="BB70">
        <f>((COUNTIF(W70:AB70, "Yes") + COUNTIF(AC70:AH70, "Yes") + COUNTIF(AI70:AO70, "Yes") + COUNTIF(AP70:AW70, "Yes") + COUNTIF(AX70:BA70, "Yes")) / 31) *100</f>
        <v>58.064516129032263</v>
      </c>
      <c r="BC70">
        <f>COUNTIF(W70:AB70, "Yes") + COUNTIF(AC70:AH70, "Yes") + COUNTIF(AI70:AO70, "Yes") + COUNTIF(AP70:AW70, "Yes") + COUNTIF(AX70:BA70, "Yes")</f>
        <v>18</v>
      </c>
      <c r="BD70" t="str">
        <f t="shared" si="11"/>
        <v>Moderate</v>
      </c>
      <c r="BE70" t="s">
        <v>89</v>
      </c>
      <c r="BF70" s="13" t="s">
        <v>83</v>
      </c>
      <c r="BH70" s="10" t="s">
        <v>84</v>
      </c>
      <c r="BJ70" t="s">
        <v>85</v>
      </c>
    </row>
    <row r="71" spans="1:62" x14ac:dyDescent="0.35">
      <c r="A71" t="s">
        <v>111</v>
      </c>
      <c r="B71">
        <v>30.588055555555499</v>
      </c>
      <c r="C71">
        <v>116.267777777777</v>
      </c>
      <c r="D71" s="8">
        <v>413.14</v>
      </c>
      <c r="E71" s="8" t="str">
        <f t="shared" si="8"/>
        <v>Small</v>
      </c>
      <c r="F71" t="s">
        <v>80</v>
      </c>
      <c r="G71" t="s">
        <v>81</v>
      </c>
      <c r="H71">
        <v>2011</v>
      </c>
      <c r="I71" t="s">
        <v>87</v>
      </c>
      <c r="J71" t="s">
        <v>66</v>
      </c>
      <c r="L71" t="s">
        <v>112</v>
      </c>
      <c r="M71" t="s">
        <v>68</v>
      </c>
      <c r="N71" t="s">
        <v>68</v>
      </c>
      <c r="O71" t="s">
        <v>68</v>
      </c>
      <c r="P71" t="s">
        <v>68</v>
      </c>
      <c r="Q71" t="s">
        <v>68</v>
      </c>
      <c r="R71" t="s">
        <v>68</v>
      </c>
      <c r="S71" s="8">
        <f t="shared" si="9"/>
        <v>6</v>
      </c>
      <c r="T71" s="8">
        <v>0</v>
      </c>
      <c r="U71" s="8">
        <f t="shared" si="10"/>
        <v>100</v>
      </c>
      <c r="W71" t="s">
        <v>68</v>
      </c>
      <c r="X71" t="s">
        <v>68</v>
      </c>
      <c r="Y71" t="s">
        <v>68</v>
      </c>
      <c r="Z71" t="s">
        <v>68</v>
      </c>
      <c r="AA71" t="s">
        <v>68</v>
      </c>
      <c r="AB71" t="s">
        <v>68</v>
      </c>
      <c r="AC71" t="s">
        <v>68</v>
      </c>
      <c r="AD71" t="s">
        <v>68</v>
      </c>
      <c r="AE71" t="s">
        <v>68</v>
      </c>
      <c r="AF71" t="s">
        <v>68</v>
      </c>
      <c r="AG71" t="s">
        <v>68</v>
      </c>
      <c r="AH71" t="s">
        <v>68</v>
      </c>
      <c r="AI71" t="s">
        <v>68</v>
      </c>
      <c r="AJ71" t="s">
        <v>68</v>
      </c>
      <c r="AK71" t="s">
        <v>68</v>
      </c>
      <c r="AL71" t="s">
        <v>68</v>
      </c>
      <c r="AM71" t="s">
        <v>68</v>
      </c>
      <c r="AN71" t="s">
        <v>68</v>
      </c>
      <c r="AO71" t="s">
        <v>68</v>
      </c>
      <c r="AP71" t="s">
        <v>68</v>
      </c>
      <c r="AQ71" t="s">
        <v>68</v>
      </c>
      <c r="AR71" t="s">
        <v>68</v>
      </c>
      <c r="AS71" t="s">
        <v>68</v>
      </c>
      <c r="AT71" t="s">
        <v>68</v>
      </c>
      <c r="AU71" t="s">
        <v>68</v>
      </c>
      <c r="AV71" t="s">
        <v>68</v>
      </c>
      <c r="AW71" t="s">
        <v>68</v>
      </c>
      <c r="AX71" t="s">
        <v>68</v>
      </c>
      <c r="AY71" t="s">
        <v>68</v>
      </c>
      <c r="AZ71" t="s">
        <v>68</v>
      </c>
      <c r="BA71" t="s">
        <v>68</v>
      </c>
      <c r="BB71">
        <f>((COUNTIF(W71:AB71, "Yes") + COUNTIF(AC71:AH71, "Yes") + COUNTIF(AI71:AO71, "Yes") + COUNTIF(AP71:AW71, "Yes") + COUNTIF(AX71:BA71, "Yes")) / 31) *100</f>
        <v>100</v>
      </c>
      <c r="BC71">
        <f>COUNTIF(W71:AB71, "Yes") + COUNTIF(AC71:AH71, "Yes") + COUNTIF(AI71:AO71, "Yes") + COUNTIF(AP71:AW71, "Yes") + COUNTIF(AX71:BA71, "Yes")</f>
        <v>31</v>
      </c>
      <c r="BD71" t="str">
        <f t="shared" si="11"/>
        <v>High</v>
      </c>
      <c r="BE71" t="s">
        <v>76</v>
      </c>
      <c r="BF71" s="13" t="s">
        <v>83</v>
      </c>
      <c r="BH71" s="10" t="s">
        <v>84</v>
      </c>
      <c r="BI71" s="8"/>
      <c r="BJ71" t="s">
        <v>71</v>
      </c>
    </row>
    <row r="72" spans="1:62" x14ac:dyDescent="0.35">
      <c r="A72" t="s">
        <v>197</v>
      </c>
      <c r="B72">
        <v>40.395472222222203</v>
      </c>
      <c r="C72">
        <v>-7.5388527777777696</v>
      </c>
      <c r="D72" s="8">
        <v>2216</v>
      </c>
      <c r="E72" s="8" t="str">
        <f t="shared" si="8"/>
        <v>Medium</v>
      </c>
      <c r="F72" t="s">
        <v>63</v>
      </c>
      <c r="G72" t="s">
        <v>128</v>
      </c>
      <c r="H72">
        <v>2020</v>
      </c>
      <c r="I72" t="s">
        <v>82</v>
      </c>
      <c r="J72" t="s">
        <v>75</v>
      </c>
      <c r="L72" t="s">
        <v>112</v>
      </c>
      <c r="M72" t="s">
        <v>68</v>
      </c>
      <c r="N72" t="s">
        <v>69</v>
      </c>
      <c r="O72" t="s">
        <v>69</v>
      </c>
      <c r="P72" t="s">
        <v>68</v>
      </c>
      <c r="Q72" t="s">
        <v>68</v>
      </c>
      <c r="R72" t="s">
        <v>69</v>
      </c>
      <c r="S72" s="8">
        <f t="shared" si="9"/>
        <v>3</v>
      </c>
      <c r="T72" s="8">
        <v>0</v>
      </c>
      <c r="U72" s="8">
        <f t="shared" si="10"/>
        <v>50</v>
      </c>
      <c r="W72" t="s">
        <v>68</v>
      </c>
      <c r="X72" t="s">
        <v>68</v>
      </c>
      <c r="Y72" t="s">
        <v>68</v>
      </c>
      <c r="Z72" t="s">
        <v>69</v>
      </c>
      <c r="AA72" t="s">
        <v>68</v>
      </c>
      <c r="AB72" t="s">
        <v>68</v>
      </c>
      <c r="AC72" t="s">
        <v>68</v>
      </c>
      <c r="AD72" t="s">
        <v>68</v>
      </c>
      <c r="AE72" t="s">
        <v>68</v>
      </c>
      <c r="AF72" t="s">
        <v>68</v>
      </c>
      <c r="AG72" t="s">
        <v>68</v>
      </c>
      <c r="AH72" t="s">
        <v>68</v>
      </c>
      <c r="AI72" t="s">
        <v>68</v>
      </c>
      <c r="AJ72" t="s">
        <v>68</v>
      </c>
      <c r="AK72" t="s">
        <v>68</v>
      </c>
      <c r="AL72" t="s">
        <v>68</v>
      </c>
      <c r="AM72" t="s">
        <v>68</v>
      </c>
      <c r="AN72" t="s">
        <v>69</v>
      </c>
      <c r="AO72" t="s">
        <v>68</v>
      </c>
      <c r="AP72" t="s">
        <v>68</v>
      </c>
      <c r="AQ72" t="s">
        <v>69</v>
      </c>
      <c r="AR72" t="s">
        <v>68</v>
      </c>
      <c r="AS72" t="s">
        <v>68</v>
      </c>
      <c r="AT72" t="s">
        <v>68</v>
      </c>
      <c r="AU72" t="s">
        <v>69</v>
      </c>
      <c r="AV72" t="s">
        <v>68</v>
      </c>
      <c r="AW72" t="s">
        <v>69</v>
      </c>
      <c r="AX72" t="s">
        <v>68</v>
      </c>
      <c r="AY72" t="s">
        <v>68</v>
      </c>
      <c r="AZ72" t="s">
        <v>68</v>
      </c>
      <c r="BA72" t="s">
        <v>68</v>
      </c>
      <c r="BB72">
        <f>((COUNTIF(W72:AB72, "Yes") + COUNTIF(AC72:AH72, "Yes") + COUNTIF(AI72:AO72, "Yes") + COUNTIF(AP72:AW72, "Yes") + COUNTIF(AX72:BA72, "Yes")) / 31) *100</f>
        <v>83.870967741935488</v>
      </c>
      <c r="BC72">
        <f>COUNTIF(W72:AB72, "Yes") + COUNTIF(AC72:AH72, "Yes") + COUNTIF(AI72:AO72, "Yes") + COUNTIF(AP72:AW72, "Yes") + COUNTIF(AX72:BA72, "Yes")</f>
        <v>26</v>
      </c>
      <c r="BD72" t="str">
        <f t="shared" si="11"/>
        <v>High</v>
      </c>
      <c r="BE72" t="s">
        <v>76</v>
      </c>
      <c r="BF72" s="13" t="s">
        <v>77</v>
      </c>
      <c r="BG72" s="9">
        <v>2023</v>
      </c>
      <c r="BH72" s="10" t="s">
        <v>72</v>
      </c>
      <c r="BJ72" t="s">
        <v>85</v>
      </c>
    </row>
    <row r="73" spans="1:62" x14ac:dyDescent="0.35">
      <c r="A73" t="s">
        <v>109</v>
      </c>
      <c r="B73">
        <v>29.313888888888801</v>
      </c>
      <c r="C73">
        <v>110.44</v>
      </c>
      <c r="D73" s="14">
        <v>398</v>
      </c>
      <c r="E73" s="8" t="str">
        <f t="shared" si="8"/>
        <v>Small</v>
      </c>
      <c r="F73" t="s">
        <v>80</v>
      </c>
      <c r="G73" t="s">
        <v>81</v>
      </c>
      <c r="H73">
        <v>2004</v>
      </c>
      <c r="I73" t="s">
        <v>65</v>
      </c>
      <c r="J73" t="s">
        <v>10</v>
      </c>
      <c r="K73" t="s">
        <v>110</v>
      </c>
      <c r="L73" t="s">
        <v>105</v>
      </c>
      <c r="M73" t="s">
        <v>68</v>
      </c>
      <c r="N73" t="s">
        <v>68</v>
      </c>
      <c r="O73" t="s">
        <v>69</v>
      </c>
      <c r="P73" t="s">
        <v>68</v>
      </c>
      <c r="Q73" t="s">
        <v>68</v>
      </c>
      <c r="R73" t="s">
        <v>68</v>
      </c>
      <c r="S73" s="8">
        <f t="shared" si="9"/>
        <v>5</v>
      </c>
      <c r="T73" s="8">
        <v>0</v>
      </c>
      <c r="U73" s="8">
        <f t="shared" si="10"/>
        <v>83.333333333333343</v>
      </c>
      <c r="W73" t="s">
        <v>68</v>
      </c>
      <c r="X73" t="s">
        <v>68</v>
      </c>
      <c r="Y73" t="s">
        <v>68</v>
      </c>
      <c r="Z73" t="s">
        <v>68</v>
      </c>
      <c r="AA73" t="s">
        <v>68</v>
      </c>
      <c r="AB73" t="s">
        <v>68</v>
      </c>
      <c r="AC73" t="s">
        <v>68</v>
      </c>
      <c r="AD73" t="s">
        <v>68</v>
      </c>
      <c r="AE73" t="s">
        <v>68</v>
      </c>
      <c r="AF73" t="s">
        <v>68</v>
      </c>
      <c r="AG73" t="s">
        <v>68</v>
      </c>
      <c r="AH73" t="s">
        <v>68</v>
      </c>
      <c r="AI73" t="s">
        <v>68</v>
      </c>
      <c r="AJ73" t="s">
        <v>69</v>
      </c>
      <c r="AK73" s="12" t="s">
        <v>68</v>
      </c>
      <c r="AL73" t="s">
        <v>68</v>
      </c>
      <c r="AM73" t="s">
        <v>68</v>
      </c>
      <c r="AN73" t="s">
        <v>68</v>
      </c>
      <c r="AO73" t="s">
        <v>69</v>
      </c>
      <c r="AP73" t="s">
        <v>68</v>
      </c>
      <c r="AQ73" s="12" t="s">
        <v>68</v>
      </c>
      <c r="AR73" t="s">
        <v>68</v>
      </c>
      <c r="AS73" t="s">
        <v>68</v>
      </c>
      <c r="AT73" t="s">
        <v>68</v>
      </c>
      <c r="AU73" t="s">
        <v>68</v>
      </c>
      <c r="AV73" t="s">
        <v>68</v>
      </c>
      <c r="AW73" s="12" t="s">
        <v>68</v>
      </c>
      <c r="AX73" t="s">
        <v>68</v>
      </c>
      <c r="AY73" t="s">
        <v>68</v>
      </c>
      <c r="AZ73" t="s">
        <v>68</v>
      </c>
      <c r="BA73" t="s">
        <v>68</v>
      </c>
      <c r="BB73">
        <f>((COUNTIF(W73:AB73, "Yes") + COUNTIF(AC73:AH73, "Yes") + COUNTIF(AI73:AO73, "Yes") + COUNTIF(AP73:AW73, "Yes") + COUNTIF(AX73:BA73, "Yes")) / 31) *100</f>
        <v>93.548387096774192</v>
      </c>
      <c r="BC73">
        <f>COUNTIF(W73:AB73, "Yes") + COUNTIF(AC73:AH73, "Yes") + COUNTIF(AI73:AO73, "Yes") + COUNTIF(AP73:AW73, "Yes") + COUNTIF(AX73:BA73, "Yes")</f>
        <v>29</v>
      </c>
      <c r="BD73" t="str">
        <f t="shared" si="11"/>
        <v>High</v>
      </c>
      <c r="BE73" t="s">
        <v>76</v>
      </c>
      <c r="BF73" s="13" t="s">
        <v>72</v>
      </c>
      <c r="BG73" s="9">
        <v>2021</v>
      </c>
      <c r="BH73" s="10" t="s">
        <v>93</v>
      </c>
      <c r="BI73" s="8">
        <v>0.15</v>
      </c>
      <c r="BJ73" t="s">
        <v>78</v>
      </c>
    </row>
    <row r="74" spans="1:62" x14ac:dyDescent="0.35">
      <c r="A74" t="s">
        <v>191</v>
      </c>
      <c r="B74">
        <v>43.875277779999998</v>
      </c>
      <c r="C74">
        <v>5.4355555559999997</v>
      </c>
      <c r="D74" s="8">
        <v>1953</v>
      </c>
      <c r="E74" s="8" t="str">
        <f t="shared" si="8"/>
        <v>Medium</v>
      </c>
      <c r="F74" t="s">
        <v>63</v>
      </c>
      <c r="G74" t="s">
        <v>176</v>
      </c>
      <c r="H74">
        <v>2004</v>
      </c>
      <c r="I74" t="s">
        <v>65</v>
      </c>
      <c r="J74" t="s">
        <v>75</v>
      </c>
      <c r="L74" t="s">
        <v>105</v>
      </c>
      <c r="M74" t="s">
        <v>69</v>
      </c>
      <c r="N74" t="s">
        <v>69</v>
      </c>
      <c r="O74" t="s">
        <v>69</v>
      </c>
      <c r="P74" t="s">
        <v>68</v>
      </c>
      <c r="Q74" t="s">
        <v>68</v>
      </c>
      <c r="R74" t="s">
        <v>68</v>
      </c>
      <c r="S74" s="8">
        <f t="shared" si="9"/>
        <v>3</v>
      </c>
      <c r="T74" s="8">
        <v>0</v>
      </c>
      <c r="U74" s="8">
        <f t="shared" si="10"/>
        <v>50</v>
      </c>
      <c r="W74" t="s">
        <v>68</v>
      </c>
      <c r="X74" t="s">
        <v>68</v>
      </c>
      <c r="Y74" t="s">
        <v>68</v>
      </c>
      <c r="Z74" t="s">
        <v>68</v>
      </c>
      <c r="AA74" t="s">
        <v>68</v>
      </c>
      <c r="AB74" t="s">
        <v>68</v>
      </c>
      <c r="AC74" t="s">
        <v>68</v>
      </c>
      <c r="AD74" t="s">
        <v>69</v>
      </c>
      <c r="AE74" t="s">
        <v>69</v>
      </c>
      <c r="AF74" t="s">
        <v>69</v>
      </c>
      <c r="AG74" t="s">
        <v>68</v>
      </c>
      <c r="AH74" t="s">
        <v>68</v>
      </c>
      <c r="AI74" t="s">
        <v>69</v>
      </c>
      <c r="AJ74" t="s">
        <v>68</v>
      </c>
      <c r="AK74" t="s">
        <v>68</v>
      </c>
      <c r="AL74" t="s">
        <v>69</v>
      </c>
      <c r="AM74" t="s">
        <v>68</v>
      </c>
      <c r="AN74" t="s">
        <v>68</v>
      </c>
      <c r="AO74" t="s">
        <v>68</v>
      </c>
      <c r="AP74" t="s">
        <v>68</v>
      </c>
      <c r="AQ74" t="s">
        <v>69</v>
      </c>
      <c r="AR74" t="s">
        <v>69</v>
      </c>
      <c r="AS74" t="s">
        <v>68</v>
      </c>
      <c r="AT74" t="s">
        <v>68</v>
      </c>
      <c r="AU74" t="s">
        <v>69</v>
      </c>
      <c r="AV74" t="s">
        <v>69</v>
      </c>
      <c r="AW74" t="s">
        <v>69</v>
      </c>
      <c r="AX74" t="s">
        <v>68</v>
      </c>
      <c r="AY74" t="s">
        <v>68</v>
      </c>
      <c r="AZ74" t="s">
        <v>68</v>
      </c>
      <c r="BA74" t="s">
        <v>68</v>
      </c>
      <c r="BB74">
        <f>((COUNTIF(W74:AB74, "Yes") + COUNTIF(AC74:AH74, "Yes") + COUNTIF(AI74:AO74, "Yes") + COUNTIF(AP74:AW74, "Yes") + COUNTIF(AX74:BA74, "Yes")) / 31) *100</f>
        <v>67.741935483870961</v>
      </c>
      <c r="BC74">
        <f>COUNTIF(W74:AB74, "Yes") + COUNTIF(AC74:AH74, "Yes") + COUNTIF(AI74:AO74, "Yes") + COUNTIF(AP74:AW74, "Yes") + COUNTIF(AX74:BA74, "Yes")</f>
        <v>21</v>
      </c>
      <c r="BD74" t="str">
        <f t="shared" si="11"/>
        <v>High</v>
      </c>
      <c r="BE74" t="s">
        <v>76</v>
      </c>
      <c r="BF74" s="13" t="s">
        <v>77</v>
      </c>
      <c r="BG74" s="9">
        <v>2021</v>
      </c>
      <c r="BH74" s="10" t="s">
        <v>93</v>
      </c>
      <c r="BJ74" t="s">
        <v>85</v>
      </c>
    </row>
    <row r="75" spans="1:62" x14ac:dyDescent="0.35">
      <c r="A75" t="s">
        <v>120</v>
      </c>
      <c r="B75">
        <v>52.996388888888802</v>
      </c>
      <c r="C75">
        <v>-9.3891666666666609</v>
      </c>
      <c r="D75" s="8">
        <v>530</v>
      </c>
      <c r="E75" s="8" t="str">
        <f t="shared" si="8"/>
        <v>Small</v>
      </c>
      <c r="F75" t="s">
        <v>63</v>
      </c>
      <c r="G75" t="s">
        <v>64</v>
      </c>
      <c r="H75">
        <v>2011</v>
      </c>
      <c r="I75" t="s">
        <v>87</v>
      </c>
      <c r="J75" t="s">
        <v>75</v>
      </c>
      <c r="L75" t="s">
        <v>105</v>
      </c>
      <c r="M75" t="s">
        <v>69</v>
      </c>
      <c r="N75" t="s">
        <v>69</v>
      </c>
      <c r="O75" t="s">
        <v>69</v>
      </c>
      <c r="P75" t="s">
        <v>68</v>
      </c>
      <c r="Q75" t="s">
        <v>68</v>
      </c>
      <c r="R75" t="s">
        <v>68</v>
      </c>
      <c r="S75" s="8">
        <f t="shared" si="9"/>
        <v>3</v>
      </c>
      <c r="T75" s="8">
        <v>0</v>
      </c>
      <c r="U75" s="8">
        <f t="shared" si="10"/>
        <v>50</v>
      </c>
      <c r="W75" t="s">
        <v>69</v>
      </c>
      <c r="X75" t="s">
        <v>68</v>
      </c>
      <c r="Y75" t="s">
        <v>68</v>
      </c>
      <c r="Z75" t="s">
        <v>69</v>
      </c>
      <c r="AA75" t="s">
        <v>69</v>
      </c>
      <c r="AB75" t="s">
        <v>68</v>
      </c>
      <c r="AC75" t="s">
        <v>68</v>
      </c>
      <c r="AD75" t="s">
        <v>69</v>
      </c>
      <c r="AE75" t="s">
        <v>68</v>
      </c>
      <c r="AF75" t="s">
        <v>69</v>
      </c>
      <c r="AG75" t="s">
        <v>68</v>
      </c>
      <c r="AH75" t="s">
        <v>68</v>
      </c>
      <c r="AI75" t="s">
        <v>68</v>
      </c>
      <c r="AJ75" t="s">
        <v>69</v>
      </c>
      <c r="AK75" t="s">
        <v>68</v>
      </c>
      <c r="AL75" t="s">
        <v>69</v>
      </c>
      <c r="AM75" t="s">
        <v>69</v>
      </c>
      <c r="AN75" t="s">
        <v>68</v>
      </c>
      <c r="AO75" t="s">
        <v>68</v>
      </c>
      <c r="AP75" t="s">
        <v>68</v>
      </c>
      <c r="AQ75" t="s">
        <v>69</v>
      </c>
      <c r="AR75" t="s">
        <v>69</v>
      </c>
      <c r="AS75" t="s">
        <v>69</v>
      </c>
      <c r="AT75" t="s">
        <v>68</v>
      </c>
      <c r="AU75" t="s">
        <v>69</v>
      </c>
      <c r="AV75" t="s">
        <v>68</v>
      </c>
      <c r="AW75" t="s">
        <v>69</v>
      </c>
      <c r="AX75" t="s">
        <v>68</v>
      </c>
      <c r="AY75" t="s">
        <v>68</v>
      </c>
      <c r="AZ75" t="s">
        <v>68</v>
      </c>
      <c r="BA75" t="s">
        <v>68</v>
      </c>
      <c r="BB75">
        <f>((COUNTIF(W75:AB75, "Yes") + COUNTIF(AC75:AH75, "Yes") + COUNTIF(AI75:AO75, "Yes") + COUNTIF(AP75:AW75, "Yes") + COUNTIF(AX75:BA75, "Yes")) / 31) *100</f>
        <v>58.064516129032263</v>
      </c>
      <c r="BC75">
        <f>COUNTIF(W75:AB75, "Yes") + COUNTIF(AC75:AH75, "Yes") + COUNTIF(AI75:AO75, "Yes") + COUNTIF(AP75:AW75, "Yes") + COUNTIF(AX75:BA75, "Yes")</f>
        <v>18</v>
      </c>
      <c r="BD75" t="str">
        <f t="shared" si="11"/>
        <v>Moderate</v>
      </c>
      <c r="BE75" t="s">
        <v>89</v>
      </c>
      <c r="BF75" s="13" t="s">
        <v>72</v>
      </c>
      <c r="BG75" s="9">
        <v>2023</v>
      </c>
      <c r="BH75" s="10" t="s">
        <v>72</v>
      </c>
      <c r="BJ75" t="s">
        <v>85</v>
      </c>
    </row>
    <row r="76" spans="1:62" x14ac:dyDescent="0.35">
      <c r="A76" t="s">
        <v>170</v>
      </c>
      <c r="B76">
        <v>42.466666666666598</v>
      </c>
      <c r="C76">
        <v>1.8216666666666601</v>
      </c>
      <c r="D76" s="8">
        <v>1300</v>
      </c>
      <c r="E76" s="8" t="str">
        <f t="shared" si="8"/>
        <v>Medium</v>
      </c>
      <c r="F76" t="s">
        <v>63</v>
      </c>
      <c r="G76" t="s">
        <v>74</v>
      </c>
      <c r="H76">
        <v>2012</v>
      </c>
      <c r="I76" t="s">
        <v>87</v>
      </c>
      <c r="J76" t="s">
        <v>75</v>
      </c>
      <c r="L76" t="s">
        <v>105</v>
      </c>
      <c r="M76" t="s">
        <v>69</v>
      </c>
      <c r="N76" t="s">
        <v>69</v>
      </c>
      <c r="O76" t="s">
        <v>69</v>
      </c>
      <c r="P76" t="s">
        <v>69</v>
      </c>
      <c r="Q76" t="s">
        <v>68</v>
      </c>
      <c r="R76" t="s">
        <v>69</v>
      </c>
      <c r="S76" s="8">
        <f t="shared" si="9"/>
        <v>1</v>
      </c>
      <c r="T76" s="8">
        <v>0</v>
      </c>
      <c r="U76" s="8">
        <f t="shared" si="10"/>
        <v>16.666666666666664</v>
      </c>
      <c r="W76" t="s">
        <v>68</v>
      </c>
      <c r="X76" t="s">
        <v>68</v>
      </c>
      <c r="Y76" t="s">
        <v>68</v>
      </c>
      <c r="Z76" t="s">
        <v>68</v>
      </c>
      <c r="AA76" t="s">
        <v>68</v>
      </c>
      <c r="AB76" t="s">
        <v>68</v>
      </c>
      <c r="AC76" t="s">
        <v>68</v>
      </c>
      <c r="AD76" t="s">
        <v>69</v>
      </c>
      <c r="AE76" t="s">
        <v>69</v>
      </c>
      <c r="AF76" t="s">
        <v>68</v>
      </c>
      <c r="AG76" t="s">
        <v>68</v>
      </c>
      <c r="AH76" t="s">
        <v>68</v>
      </c>
      <c r="AI76" t="s">
        <v>69</v>
      </c>
      <c r="AJ76" t="s">
        <v>69</v>
      </c>
      <c r="AK76" t="s">
        <v>68</v>
      </c>
      <c r="AL76" t="s">
        <v>68</v>
      </c>
      <c r="AM76" t="s">
        <v>69</v>
      </c>
      <c r="AN76" t="s">
        <v>68</v>
      </c>
      <c r="AO76" t="s">
        <v>69</v>
      </c>
      <c r="AP76" t="s">
        <v>68</v>
      </c>
      <c r="AQ76" t="s">
        <v>68</v>
      </c>
      <c r="AR76" t="s">
        <v>69</v>
      </c>
      <c r="AS76" t="s">
        <v>68</v>
      </c>
      <c r="AT76" t="s">
        <v>68</v>
      </c>
      <c r="AU76" t="s">
        <v>68</v>
      </c>
      <c r="AV76" t="s">
        <v>68</v>
      </c>
      <c r="AW76" t="s">
        <v>68</v>
      </c>
      <c r="AX76" t="s">
        <v>68</v>
      </c>
      <c r="AY76" t="s">
        <v>68</v>
      </c>
      <c r="AZ76" t="s">
        <v>68</v>
      </c>
      <c r="BA76" t="s">
        <v>68</v>
      </c>
      <c r="BB76">
        <f>((COUNTIF(W76:AB76, "Yes") + COUNTIF(AC76:AH76, "Yes") + COUNTIF(AI76:AO76, "Yes") + COUNTIF(AP76:AW76, "Yes") + COUNTIF(AX76:BA76, "Yes")) / 31) *100</f>
        <v>77.41935483870968</v>
      </c>
      <c r="BC76">
        <f>COUNTIF(W76:AB76, "Yes") + COUNTIF(AC76:AH76, "Yes") + COUNTIF(AI76:AO76, "Yes") + COUNTIF(AP76:AW76, "Yes") + COUNTIF(AX76:BA76, "Yes")</f>
        <v>24</v>
      </c>
      <c r="BD76" t="str">
        <f t="shared" si="11"/>
        <v>High</v>
      </c>
      <c r="BE76" t="s">
        <v>71</v>
      </c>
      <c r="BF76" t="s">
        <v>71</v>
      </c>
      <c r="BG76" s="9">
        <v>2022</v>
      </c>
      <c r="BH76" s="10" t="s">
        <v>72</v>
      </c>
      <c r="BI76" s="8"/>
      <c r="BJ76" t="s">
        <v>71</v>
      </c>
    </row>
    <row r="77" spans="1:62" x14ac:dyDescent="0.35">
      <c r="A77" t="s">
        <v>155</v>
      </c>
      <c r="B77">
        <v>34.980277780000002</v>
      </c>
      <c r="C77">
        <v>32.846111110000002</v>
      </c>
      <c r="D77" s="8">
        <v>1147</v>
      </c>
      <c r="E77" s="8" t="str">
        <f t="shared" si="8"/>
        <v>Medium</v>
      </c>
      <c r="F77" t="s">
        <v>63</v>
      </c>
      <c r="G77" t="s">
        <v>156</v>
      </c>
      <c r="H77">
        <v>2015</v>
      </c>
      <c r="I77" t="s">
        <v>82</v>
      </c>
      <c r="J77" t="s">
        <v>75</v>
      </c>
      <c r="L77" t="s">
        <v>105</v>
      </c>
      <c r="M77" t="s">
        <v>69</v>
      </c>
      <c r="N77" t="s">
        <v>69</v>
      </c>
      <c r="O77" t="s">
        <v>69</v>
      </c>
      <c r="P77" t="s">
        <v>68</v>
      </c>
      <c r="Q77" t="s">
        <v>68</v>
      </c>
      <c r="R77" t="s">
        <v>69</v>
      </c>
      <c r="S77" s="8">
        <f t="shared" si="9"/>
        <v>2</v>
      </c>
      <c r="T77" s="8">
        <v>0</v>
      </c>
      <c r="U77" s="8">
        <f t="shared" si="10"/>
        <v>33.333333333333329</v>
      </c>
      <c r="W77" t="s">
        <v>68</v>
      </c>
      <c r="X77" t="s">
        <v>68</v>
      </c>
      <c r="Y77" t="s">
        <v>68</v>
      </c>
      <c r="Z77" t="s">
        <v>68</v>
      </c>
      <c r="AA77" t="s">
        <v>68</v>
      </c>
      <c r="AB77" t="s">
        <v>68</v>
      </c>
      <c r="AC77" t="s">
        <v>68</v>
      </c>
      <c r="AD77" t="s">
        <v>69</v>
      </c>
      <c r="AE77" t="s">
        <v>68</v>
      </c>
      <c r="AF77" t="s">
        <v>68</v>
      </c>
      <c r="AG77" t="s">
        <v>68</v>
      </c>
      <c r="AH77" t="s">
        <v>68</v>
      </c>
      <c r="AI77" t="s">
        <v>68</v>
      </c>
      <c r="AJ77" t="s">
        <v>69</v>
      </c>
      <c r="AK77" t="s">
        <v>69</v>
      </c>
      <c r="AL77" t="s">
        <v>68</v>
      </c>
      <c r="AM77" t="s">
        <v>69</v>
      </c>
      <c r="AN77" t="s">
        <v>69</v>
      </c>
      <c r="AO77" t="s">
        <v>68</v>
      </c>
      <c r="AP77" t="s">
        <v>68</v>
      </c>
      <c r="AQ77" t="s">
        <v>68</v>
      </c>
      <c r="AR77" t="s">
        <v>68</v>
      </c>
      <c r="AS77" t="s">
        <v>68</v>
      </c>
      <c r="AT77" t="s">
        <v>68</v>
      </c>
      <c r="AU77" t="s">
        <v>68</v>
      </c>
      <c r="AV77" t="s">
        <v>68</v>
      </c>
      <c r="AW77" t="s">
        <v>68</v>
      </c>
      <c r="AX77" t="s">
        <v>68</v>
      </c>
      <c r="AY77" t="s">
        <v>69</v>
      </c>
      <c r="AZ77" t="s">
        <v>68</v>
      </c>
      <c r="BA77" t="s">
        <v>68</v>
      </c>
      <c r="BB77">
        <f>((COUNTIF(W77:AB77, "Yes") + COUNTIF(AC77:AH77, "Yes") + COUNTIF(AI77:AO77, "Yes") + COUNTIF(AP77:AW77, "Yes") + COUNTIF(AX77:BA77, "Yes")) / 31) *100</f>
        <v>80.645161290322577</v>
      </c>
      <c r="BC77">
        <f>COUNTIF(W77:AB77, "Yes") + COUNTIF(AC77:AH77, "Yes") + COUNTIF(AI77:AO77, "Yes") + COUNTIF(AP77:AW77, "Yes") + COUNTIF(AX77:BA77, "Yes")</f>
        <v>25</v>
      </c>
      <c r="BD77" t="str">
        <f t="shared" si="11"/>
        <v>High</v>
      </c>
      <c r="BE77" t="s">
        <v>76</v>
      </c>
      <c r="BF77" s="13" t="s">
        <v>72</v>
      </c>
      <c r="BG77" s="9">
        <v>2023</v>
      </c>
      <c r="BH77" s="10" t="s">
        <v>72</v>
      </c>
      <c r="BI77" s="8">
        <v>0</v>
      </c>
      <c r="BJ77" t="s">
        <v>78</v>
      </c>
    </row>
    <row r="78" spans="1:62" x14ac:dyDescent="0.35">
      <c r="A78" t="s">
        <v>158</v>
      </c>
      <c r="B78">
        <v>35.2922222222222</v>
      </c>
      <c r="C78">
        <v>24.8813888888888</v>
      </c>
      <c r="D78" s="8">
        <v>1159</v>
      </c>
      <c r="E78" s="8" t="str">
        <f t="shared" si="8"/>
        <v>Medium</v>
      </c>
      <c r="F78" t="s">
        <v>63</v>
      </c>
      <c r="G78" t="s">
        <v>119</v>
      </c>
      <c r="H78">
        <v>2004</v>
      </c>
      <c r="I78" t="s">
        <v>65</v>
      </c>
      <c r="J78" t="s">
        <v>66</v>
      </c>
      <c r="L78" t="s">
        <v>88</v>
      </c>
      <c r="M78" t="s">
        <v>68</v>
      </c>
      <c r="N78" t="s">
        <v>68</v>
      </c>
      <c r="O78" t="s">
        <v>69</v>
      </c>
      <c r="P78" t="s">
        <v>68</v>
      </c>
      <c r="Q78" t="s">
        <v>68</v>
      </c>
      <c r="R78" t="s">
        <v>69</v>
      </c>
      <c r="S78" s="8">
        <f t="shared" si="9"/>
        <v>4</v>
      </c>
      <c r="T78" s="8">
        <v>0</v>
      </c>
      <c r="U78" s="8">
        <f t="shared" si="10"/>
        <v>66.666666666666657</v>
      </c>
      <c r="W78" t="s">
        <v>68</v>
      </c>
      <c r="X78" t="s">
        <v>68</v>
      </c>
      <c r="Y78" t="s">
        <v>68</v>
      </c>
      <c r="Z78" t="s">
        <v>68</v>
      </c>
      <c r="AA78" t="s">
        <v>69</v>
      </c>
      <c r="AB78" t="s">
        <v>69</v>
      </c>
      <c r="AC78" t="s">
        <v>69</v>
      </c>
      <c r="AD78" t="s">
        <v>69</v>
      </c>
      <c r="AE78" t="s">
        <v>68</v>
      </c>
      <c r="AF78" t="s">
        <v>68</v>
      </c>
      <c r="AG78" t="s">
        <v>68</v>
      </c>
      <c r="AH78" t="s">
        <v>68</v>
      </c>
      <c r="AI78" t="s">
        <v>68</v>
      </c>
      <c r="AJ78" t="s">
        <v>68</v>
      </c>
      <c r="AK78" t="s">
        <v>68</v>
      </c>
      <c r="AL78" t="s">
        <v>68</v>
      </c>
      <c r="AM78" t="s">
        <v>69</v>
      </c>
      <c r="AN78" t="s">
        <v>68</v>
      </c>
      <c r="AO78" t="s">
        <v>68</v>
      </c>
      <c r="AP78" t="s">
        <v>68</v>
      </c>
      <c r="AQ78" t="s">
        <v>68</v>
      </c>
      <c r="AR78" t="s">
        <v>69</v>
      </c>
      <c r="AS78" t="s">
        <v>68</v>
      </c>
      <c r="AT78" t="s">
        <v>68</v>
      </c>
      <c r="AU78" t="s">
        <v>68</v>
      </c>
      <c r="AV78" t="s">
        <v>69</v>
      </c>
      <c r="AW78" t="s">
        <v>69</v>
      </c>
      <c r="AX78" t="s">
        <v>68</v>
      </c>
      <c r="AY78" t="s">
        <v>68</v>
      </c>
      <c r="AZ78" t="s">
        <v>68</v>
      </c>
      <c r="BA78" t="s">
        <v>68</v>
      </c>
      <c r="BB78">
        <f>((COUNTIF(W78:AB78, "Yes") + COUNTIF(AC78:AH78, "Yes") + COUNTIF(AI78:AO78, "Yes") + COUNTIF(AP78:AW78, "Yes") + COUNTIF(AX78:BA78, "Yes")) / 31) *100</f>
        <v>74.193548387096769</v>
      </c>
      <c r="BC78">
        <f>COUNTIF(W78:AB78, "Yes") + COUNTIF(AC78:AH78, "Yes") + COUNTIF(AI78:AO78, "Yes") + COUNTIF(AP78:AW78, "Yes") + COUNTIF(AX78:BA78, "Yes")</f>
        <v>23</v>
      </c>
      <c r="BD78" t="str">
        <f t="shared" si="11"/>
        <v>High</v>
      </c>
      <c r="BE78" t="s">
        <v>71</v>
      </c>
      <c r="BF78" t="s">
        <v>71</v>
      </c>
      <c r="BG78" s="9">
        <v>2018</v>
      </c>
      <c r="BH78" s="10" t="s">
        <v>84</v>
      </c>
      <c r="BI78" s="8"/>
      <c r="BJ78" t="s">
        <v>71</v>
      </c>
    </row>
    <row r="79" spans="1:62" x14ac:dyDescent="0.35">
      <c r="A79" t="s">
        <v>220</v>
      </c>
      <c r="B79">
        <v>58.447000000000003</v>
      </c>
      <c r="C79">
        <v>6.0522</v>
      </c>
      <c r="D79" s="8">
        <v>3000</v>
      </c>
      <c r="E79" s="8" t="str">
        <f t="shared" si="8"/>
        <v>Medium</v>
      </c>
      <c r="F79" t="s">
        <v>63</v>
      </c>
      <c r="G79" t="s">
        <v>219</v>
      </c>
      <c r="H79">
        <v>2010</v>
      </c>
      <c r="I79" t="s">
        <v>65</v>
      </c>
      <c r="J79" t="s">
        <v>75</v>
      </c>
      <c r="L79" t="s">
        <v>88</v>
      </c>
      <c r="M79" t="s">
        <v>69</v>
      </c>
      <c r="N79" t="s">
        <v>68</v>
      </c>
      <c r="O79" t="s">
        <v>69</v>
      </c>
      <c r="P79" t="s">
        <v>68</v>
      </c>
      <c r="Q79" t="s">
        <v>68</v>
      </c>
      <c r="R79" s="12" t="s">
        <v>68</v>
      </c>
      <c r="S79" s="8">
        <f t="shared" si="9"/>
        <v>4</v>
      </c>
      <c r="T79" s="8">
        <v>0</v>
      </c>
      <c r="U79" s="8">
        <f t="shared" si="10"/>
        <v>66.666666666666657</v>
      </c>
      <c r="W79" s="12" t="s">
        <v>68</v>
      </c>
      <c r="X79" s="12" t="s">
        <v>68</v>
      </c>
      <c r="Y79" t="s">
        <v>68</v>
      </c>
      <c r="Z79" s="12" t="s">
        <v>68</v>
      </c>
      <c r="AA79" t="s">
        <v>69</v>
      </c>
      <c r="AB79" t="s">
        <v>69</v>
      </c>
      <c r="AC79" t="s">
        <v>69</v>
      </c>
      <c r="AD79" t="s">
        <v>68</v>
      </c>
      <c r="AE79" s="12" t="s">
        <v>68</v>
      </c>
      <c r="AF79" s="12" t="s">
        <v>68</v>
      </c>
      <c r="AG79" t="s">
        <v>68</v>
      </c>
      <c r="AH79" t="s">
        <v>68</v>
      </c>
      <c r="AI79" s="12" t="s">
        <v>68</v>
      </c>
      <c r="AJ79" t="s">
        <v>69</v>
      </c>
      <c r="AK79" s="12" t="s">
        <v>68</v>
      </c>
      <c r="AL79" t="s">
        <v>68</v>
      </c>
      <c r="AM79" t="s">
        <v>69</v>
      </c>
      <c r="AN79" s="12" t="s">
        <v>68</v>
      </c>
      <c r="AO79" s="12" t="s">
        <v>68</v>
      </c>
      <c r="AP79" s="12" t="s">
        <v>68</v>
      </c>
      <c r="AQ79" t="s">
        <v>69</v>
      </c>
      <c r="AR79" s="12" t="s">
        <v>68</v>
      </c>
      <c r="AS79" t="s">
        <v>68</v>
      </c>
      <c r="AT79" t="s">
        <v>68</v>
      </c>
      <c r="AU79" s="12" t="s">
        <v>68</v>
      </c>
      <c r="AV79" t="s">
        <v>69</v>
      </c>
      <c r="AW79" t="s">
        <v>69</v>
      </c>
      <c r="AX79" t="s">
        <v>68</v>
      </c>
      <c r="AY79" s="12" t="s">
        <v>68</v>
      </c>
      <c r="AZ79" s="12" t="s">
        <v>68</v>
      </c>
      <c r="BA79" s="12" t="s">
        <v>68</v>
      </c>
      <c r="BB79">
        <f>((COUNTIF(W79:AB79, "Yes") + COUNTIF(AC79:AH79, "Yes") + COUNTIF(AI79:AO79, "Yes") + COUNTIF(AP79:AW79, "Yes") + COUNTIF(AX79:BA79, "Yes")) / 31) *100</f>
        <v>74.193548387096769</v>
      </c>
      <c r="BC79">
        <f>COUNTIF(W79:AB79, "Yes") + COUNTIF(AC79:AH79, "Yes") + COUNTIF(AI79:AO79, "Yes") + COUNTIF(AP79:AW79, "Yes") + COUNTIF(AX79:BA79, "Yes")</f>
        <v>23</v>
      </c>
      <c r="BD79" t="str">
        <f t="shared" si="11"/>
        <v>High</v>
      </c>
      <c r="BE79" t="s">
        <v>76</v>
      </c>
      <c r="BF79" s="13" t="s">
        <v>77</v>
      </c>
      <c r="BG79" s="9">
        <v>2018</v>
      </c>
      <c r="BH79" s="10" t="s">
        <v>84</v>
      </c>
      <c r="BI79" s="8">
        <v>0.2</v>
      </c>
      <c r="BJ79" t="s">
        <v>78</v>
      </c>
    </row>
    <row r="80" spans="1:62" x14ac:dyDescent="0.35">
      <c r="A80" t="s">
        <v>94</v>
      </c>
      <c r="B80">
        <v>28.8061111111111</v>
      </c>
      <c r="C80">
        <v>117.972222222222</v>
      </c>
      <c r="D80" s="8">
        <v>229.5</v>
      </c>
      <c r="E80" s="8" t="str">
        <f t="shared" si="8"/>
        <v>Small</v>
      </c>
      <c r="F80" t="s">
        <v>80</v>
      </c>
      <c r="G80" t="s">
        <v>81</v>
      </c>
      <c r="H80">
        <v>2012</v>
      </c>
      <c r="I80" t="s">
        <v>87</v>
      </c>
      <c r="J80" t="s">
        <v>66</v>
      </c>
      <c r="L80" t="s">
        <v>88</v>
      </c>
      <c r="M80" t="s">
        <v>68</v>
      </c>
      <c r="N80" t="s">
        <v>69</v>
      </c>
      <c r="O80" t="s">
        <v>69</v>
      </c>
      <c r="P80" t="s">
        <v>68</v>
      </c>
      <c r="Q80" t="s">
        <v>69</v>
      </c>
      <c r="R80" t="s">
        <v>69</v>
      </c>
      <c r="S80" s="8">
        <f t="shared" si="9"/>
        <v>2</v>
      </c>
      <c r="T80" s="8">
        <v>0</v>
      </c>
      <c r="U80" s="8">
        <f t="shared" si="10"/>
        <v>33.333333333333329</v>
      </c>
      <c r="W80" t="s">
        <v>68</v>
      </c>
      <c r="X80" t="s">
        <v>68</v>
      </c>
      <c r="Y80" t="s">
        <v>68</v>
      </c>
      <c r="Z80" t="s">
        <v>68</v>
      </c>
      <c r="AA80" t="s">
        <v>68</v>
      </c>
      <c r="AB80" t="s">
        <v>68</v>
      </c>
      <c r="AC80" t="s">
        <v>68</v>
      </c>
      <c r="AD80" t="s">
        <v>68</v>
      </c>
      <c r="AE80" t="s">
        <v>68</v>
      </c>
      <c r="AF80" t="s">
        <v>68</v>
      </c>
      <c r="AG80" t="s">
        <v>68</v>
      </c>
      <c r="AH80" t="s">
        <v>68</v>
      </c>
      <c r="AI80" t="s">
        <v>69</v>
      </c>
      <c r="AJ80" t="s">
        <v>68</v>
      </c>
      <c r="AK80" t="s">
        <v>68</v>
      </c>
      <c r="AL80" t="s">
        <v>69</v>
      </c>
      <c r="AM80" t="s">
        <v>69</v>
      </c>
      <c r="AN80" t="s">
        <v>68</v>
      </c>
      <c r="AO80" t="s">
        <v>69</v>
      </c>
      <c r="AP80" t="s">
        <v>68</v>
      </c>
      <c r="AQ80" t="s">
        <v>69</v>
      </c>
      <c r="AR80" t="s">
        <v>68</v>
      </c>
      <c r="AS80" t="s">
        <v>68</v>
      </c>
      <c r="AT80" t="s">
        <v>68</v>
      </c>
      <c r="AU80" t="s">
        <v>68</v>
      </c>
      <c r="AV80" t="s">
        <v>68</v>
      </c>
      <c r="AW80" t="s">
        <v>69</v>
      </c>
      <c r="AX80" t="s">
        <v>68</v>
      </c>
      <c r="AY80" t="s">
        <v>68</v>
      </c>
      <c r="AZ80" t="s">
        <v>68</v>
      </c>
      <c r="BA80" t="s">
        <v>69</v>
      </c>
      <c r="BB80">
        <f>((COUNTIF(W80:AB80, "Yes") + COUNTIF(AC80:AH80, "Yes") + COUNTIF(AI80:AO80, "Yes") + COUNTIF(AP80:AW80, "Yes") + COUNTIF(AX80:BA80, "Yes")) / 31) *100</f>
        <v>77.41935483870968</v>
      </c>
      <c r="BC80">
        <f>COUNTIF(W80:AB80, "Yes") + COUNTIF(AC80:AH80, "Yes") + COUNTIF(AI80:AO80, "Yes") + COUNTIF(AP80:AW80, "Yes") + COUNTIF(AX80:BA80, "Yes")</f>
        <v>24</v>
      </c>
      <c r="BD80" t="str">
        <f t="shared" si="11"/>
        <v>High</v>
      </c>
      <c r="BE80" t="s">
        <v>76</v>
      </c>
      <c r="BF80" s="13" t="s">
        <v>83</v>
      </c>
      <c r="BG80" s="9">
        <v>2021</v>
      </c>
      <c r="BH80" s="10" t="s">
        <v>93</v>
      </c>
      <c r="BJ80" t="s">
        <v>85</v>
      </c>
    </row>
    <row r="81" spans="1:62" x14ac:dyDescent="0.35">
      <c r="A81" t="s">
        <v>215</v>
      </c>
      <c r="B81">
        <v>-8.45131805555555</v>
      </c>
      <c r="C81">
        <v>116.431732222222</v>
      </c>
      <c r="D81" s="8">
        <v>2800</v>
      </c>
      <c r="E81" s="8" t="str">
        <f t="shared" si="8"/>
        <v>Medium</v>
      </c>
      <c r="F81" t="s">
        <v>80</v>
      </c>
      <c r="G81" t="s">
        <v>165</v>
      </c>
      <c r="H81">
        <v>2018</v>
      </c>
      <c r="I81" t="s">
        <v>82</v>
      </c>
      <c r="J81" t="s">
        <v>66</v>
      </c>
      <c r="L81" t="s">
        <v>88</v>
      </c>
      <c r="M81" s="12" t="s">
        <v>68</v>
      </c>
      <c r="N81" t="s">
        <v>69</v>
      </c>
      <c r="O81" t="s">
        <v>69</v>
      </c>
      <c r="P81" t="s">
        <v>68</v>
      </c>
      <c r="Q81" t="s">
        <v>69</v>
      </c>
      <c r="R81" t="s">
        <v>69</v>
      </c>
      <c r="S81" s="8">
        <f t="shared" si="9"/>
        <v>2</v>
      </c>
      <c r="T81" s="8">
        <v>0</v>
      </c>
      <c r="U81" s="8">
        <f t="shared" si="10"/>
        <v>33.333333333333329</v>
      </c>
      <c r="W81" t="s">
        <v>68</v>
      </c>
      <c r="X81" s="12" t="s">
        <v>68</v>
      </c>
      <c r="Y81" t="s">
        <v>68</v>
      </c>
      <c r="Z81" t="s">
        <v>68</v>
      </c>
      <c r="AA81" t="s">
        <v>69</v>
      </c>
      <c r="AB81" t="s">
        <v>69</v>
      </c>
      <c r="AC81" s="12" t="s">
        <v>68</v>
      </c>
      <c r="AD81" t="s">
        <v>68</v>
      </c>
      <c r="AE81" t="s">
        <v>68</v>
      </c>
      <c r="AF81" t="s">
        <v>69</v>
      </c>
      <c r="AG81" t="s">
        <v>68</v>
      </c>
      <c r="AH81" t="s">
        <v>68</v>
      </c>
      <c r="AI81" s="12" t="s">
        <v>68</v>
      </c>
      <c r="AJ81" s="12" t="s">
        <v>68</v>
      </c>
      <c r="AK81" t="s">
        <v>68</v>
      </c>
      <c r="AL81" s="12" t="s">
        <v>68</v>
      </c>
      <c r="AM81" t="s">
        <v>69</v>
      </c>
      <c r="AN81" t="s">
        <v>68</v>
      </c>
      <c r="AO81" t="s">
        <v>68</v>
      </c>
      <c r="AP81" t="s">
        <v>68</v>
      </c>
      <c r="AQ81" t="s">
        <v>68</v>
      </c>
      <c r="AR81" t="s">
        <v>68</v>
      </c>
      <c r="AS81" t="s">
        <v>68</v>
      </c>
      <c r="AT81" t="s">
        <v>68</v>
      </c>
      <c r="AU81" t="s">
        <v>69</v>
      </c>
      <c r="AV81" t="s">
        <v>68</v>
      </c>
      <c r="AW81" t="s">
        <v>69</v>
      </c>
      <c r="AX81" s="12" t="s">
        <v>68</v>
      </c>
      <c r="AY81" t="s">
        <v>68</v>
      </c>
      <c r="AZ81" t="s">
        <v>68</v>
      </c>
      <c r="BA81" t="s">
        <v>68</v>
      </c>
      <c r="BB81">
        <f>((COUNTIF(W81:AB81, "Yes") + COUNTIF(AC81:AH81, "Yes") + COUNTIF(AI81:AO81, "Yes") + COUNTIF(AP81:AW81, "Yes") + COUNTIF(AX81:BA81, "Yes")) / 31) *100</f>
        <v>80.645161290322577</v>
      </c>
      <c r="BC81">
        <f>COUNTIF(W81:AB81, "Yes") + COUNTIF(AC81:AH81, "Yes") + COUNTIF(AI81:AO81, "Yes") + COUNTIF(AP81:AW81, "Yes") + COUNTIF(AX81:BA81, "Yes")</f>
        <v>25</v>
      </c>
      <c r="BD81" t="str">
        <f t="shared" si="11"/>
        <v>High</v>
      </c>
      <c r="BE81" t="s">
        <v>76</v>
      </c>
      <c r="BF81" s="13" t="s">
        <v>98</v>
      </c>
      <c r="BG81" s="9">
        <v>2022</v>
      </c>
      <c r="BH81" s="10" t="s">
        <v>72</v>
      </c>
      <c r="BI81" s="8">
        <v>0.2</v>
      </c>
      <c r="BJ81" t="s">
        <v>78</v>
      </c>
    </row>
    <row r="82" spans="1:62" x14ac:dyDescent="0.35">
      <c r="A82" t="s">
        <v>206</v>
      </c>
      <c r="B82">
        <v>45.702500000000001</v>
      </c>
      <c r="C82">
        <v>-65.031388888888799</v>
      </c>
      <c r="D82" s="8">
        <v>2500</v>
      </c>
      <c r="E82" s="8" t="str">
        <f t="shared" si="8"/>
        <v>Medium</v>
      </c>
      <c r="F82" t="s">
        <v>122</v>
      </c>
      <c r="G82" t="s">
        <v>123</v>
      </c>
      <c r="H82">
        <v>2020</v>
      </c>
      <c r="I82" t="s">
        <v>82</v>
      </c>
      <c r="J82" t="s">
        <v>75</v>
      </c>
      <c r="L82" t="s">
        <v>88</v>
      </c>
      <c r="M82" t="s">
        <v>69</v>
      </c>
      <c r="N82" t="s">
        <v>69</v>
      </c>
      <c r="O82" t="s">
        <v>69</v>
      </c>
      <c r="P82" t="s">
        <v>68</v>
      </c>
      <c r="Q82" t="s">
        <v>68</v>
      </c>
      <c r="R82" t="s">
        <v>69</v>
      </c>
      <c r="S82" s="8">
        <f t="shared" si="9"/>
        <v>2</v>
      </c>
      <c r="T82" s="8">
        <v>0</v>
      </c>
      <c r="U82" s="8">
        <f t="shared" si="10"/>
        <v>33.333333333333329</v>
      </c>
      <c r="W82" t="s">
        <v>68</v>
      </c>
      <c r="X82" t="s">
        <v>68</v>
      </c>
      <c r="Y82" t="s">
        <v>68</v>
      </c>
      <c r="Z82" t="s">
        <v>68</v>
      </c>
      <c r="AA82" t="s">
        <v>69</v>
      </c>
      <c r="AB82" t="s">
        <v>69</v>
      </c>
      <c r="AC82" t="s">
        <v>68</v>
      </c>
      <c r="AD82" t="s">
        <v>68</v>
      </c>
      <c r="AE82" t="s">
        <v>68</v>
      </c>
      <c r="AF82" t="s">
        <v>69</v>
      </c>
      <c r="AG82" t="s">
        <v>68</v>
      </c>
      <c r="AH82" t="s">
        <v>68</v>
      </c>
      <c r="AI82" t="s">
        <v>68</v>
      </c>
      <c r="AJ82" t="s">
        <v>68</v>
      </c>
      <c r="AK82" t="s">
        <v>68</v>
      </c>
      <c r="AL82" t="s">
        <v>68</v>
      </c>
      <c r="AM82" t="s">
        <v>69</v>
      </c>
      <c r="AN82" t="s">
        <v>68</v>
      </c>
      <c r="AO82" t="s">
        <v>68</v>
      </c>
      <c r="AP82" t="s">
        <v>68</v>
      </c>
      <c r="AQ82" t="s">
        <v>68</v>
      </c>
      <c r="AR82" t="s">
        <v>69</v>
      </c>
      <c r="AS82" t="s">
        <v>69</v>
      </c>
      <c r="AT82" t="s">
        <v>68</v>
      </c>
      <c r="AU82" t="s">
        <v>68</v>
      </c>
      <c r="AV82" t="s">
        <v>68</v>
      </c>
      <c r="AW82" t="s">
        <v>68</v>
      </c>
      <c r="AX82" t="s">
        <v>68</v>
      </c>
      <c r="AY82" t="s">
        <v>68</v>
      </c>
      <c r="AZ82" t="s">
        <v>69</v>
      </c>
      <c r="BA82" t="s">
        <v>68</v>
      </c>
      <c r="BB82">
        <f>((COUNTIF(W82:AB82, "Yes") + COUNTIF(AC82:AH82, "Yes") + COUNTIF(AI82:AO82, "Yes") + COUNTIF(AP82:AW82, "Yes") + COUNTIF(AX82:BA82, "Yes")) / 31) *100</f>
        <v>77.41935483870968</v>
      </c>
      <c r="BC82">
        <f>COUNTIF(W82:AB82, "Yes") + COUNTIF(AC82:AH82, "Yes") + COUNTIF(AI82:AO82, "Yes") + COUNTIF(AP82:AW82, "Yes") + COUNTIF(AX82:BA82, "Yes")</f>
        <v>24</v>
      </c>
      <c r="BD82" t="str">
        <f t="shared" si="11"/>
        <v>High</v>
      </c>
      <c r="BE82" t="s">
        <v>76</v>
      </c>
      <c r="BF82" s="13" t="s">
        <v>98</v>
      </c>
      <c r="BG82" s="9">
        <v>2023</v>
      </c>
      <c r="BH82" s="10" t="s">
        <v>72</v>
      </c>
      <c r="BJ82" t="s">
        <v>85</v>
      </c>
    </row>
    <row r="83" spans="1:62" x14ac:dyDescent="0.35">
      <c r="A83" t="s">
        <v>256</v>
      </c>
      <c r="B83">
        <v>43.0456</v>
      </c>
      <c r="C83">
        <v>16.091899999999999</v>
      </c>
      <c r="D83" s="8">
        <v>6661</v>
      </c>
      <c r="E83" s="8" t="str">
        <f t="shared" si="8"/>
        <v>Large</v>
      </c>
      <c r="F83" t="s">
        <v>63</v>
      </c>
      <c r="G83" t="s">
        <v>257</v>
      </c>
      <c r="H83">
        <v>2019</v>
      </c>
      <c r="I83" t="s">
        <v>82</v>
      </c>
      <c r="J83" t="s">
        <v>66</v>
      </c>
      <c r="L83" t="s">
        <v>88</v>
      </c>
      <c r="M83" t="s">
        <v>69</v>
      </c>
      <c r="N83" t="s">
        <v>69</v>
      </c>
      <c r="O83" t="s">
        <v>69</v>
      </c>
      <c r="P83" t="s">
        <v>68</v>
      </c>
      <c r="Q83" t="s">
        <v>68</v>
      </c>
      <c r="R83" t="s">
        <v>69</v>
      </c>
      <c r="S83" s="8">
        <f t="shared" si="9"/>
        <v>2</v>
      </c>
      <c r="T83" s="8">
        <v>0</v>
      </c>
      <c r="U83" s="8">
        <f t="shared" si="10"/>
        <v>33.333333333333329</v>
      </c>
      <c r="W83" t="s">
        <v>68</v>
      </c>
      <c r="X83" t="s">
        <v>68</v>
      </c>
      <c r="Y83" t="s">
        <v>68</v>
      </c>
      <c r="Z83" t="s">
        <v>68</v>
      </c>
      <c r="AA83" t="s">
        <v>68</v>
      </c>
      <c r="AB83" t="s">
        <v>69</v>
      </c>
      <c r="AC83" t="s">
        <v>69</v>
      </c>
      <c r="AD83" t="s">
        <v>69</v>
      </c>
      <c r="AE83" t="s">
        <v>69</v>
      </c>
      <c r="AF83" t="s">
        <v>69</v>
      </c>
      <c r="AG83" t="s">
        <v>68</v>
      </c>
      <c r="AH83" t="s">
        <v>69</v>
      </c>
      <c r="AI83" t="s">
        <v>69</v>
      </c>
      <c r="AJ83" t="s">
        <v>69</v>
      </c>
      <c r="AK83" t="s">
        <v>68</v>
      </c>
      <c r="AL83" t="s">
        <v>68</v>
      </c>
      <c r="AM83" t="s">
        <v>69</v>
      </c>
      <c r="AN83" t="s">
        <v>68</v>
      </c>
      <c r="AO83" t="s">
        <v>68</v>
      </c>
      <c r="AP83" t="s">
        <v>68</v>
      </c>
      <c r="AQ83" t="s">
        <v>69</v>
      </c>
      <c r="AR83" t="s">
        <v>69</v>
      </c>
      <c r="AS83" t="s">
        <v>69</v>
      </c>
      <c r="AT83" t="s">
        <v>68</v>
      </c>
      <c r="AU83" t="s">
        <v>69</v>
      </c>
      <c r="AV83" t="s">
        <v>68</v>
      </c>
      <c r="AW83" t="s">
        <v>69</v>
      </c>
      <c r="AX83" t="s">
        <v>68</v>
      </c>
      <c r="AY83" t="s">
        <v>69</v>
      </c>
      <c r="AZ83" t="s">
        <v>68</v>
      </c>
      <c r="BA83" t="s">
        <v>68</v>
      </c>
      <c r="BB83">
        <f>((COUNTIF(W83:AB83, "Yes") + COUNTIF(AC83:AH83, "Yes") + COUNTIF(AI83:AO83, "Yes") + COUNTIF(AP83:AW83, "Yes") + COUNTIF(AX83:BA83, "Yes")) / 31) *100</f>
        <v>51.612903225806448</v>
      </c>
      <c r="BC83">
        <f>COUNTIF(W83:AB83, "Yes") + COUNTIF(AC83:AH83, "Yes") + COUNTIF(AI83:AO83, "Yes") + COUNTIF(AP83:AW83, "Yes") + COUNTIF(AX83:BA83, "Yes")</f>
        <v>16</v>
      </c>
      <c r="BD83" t="str">
        <f t="shared" si="11"/>
        <v>Moderate</v>
      </c>
      <c r="BE83" t="s">
        <v>76</v>
      </c>
      <c r="BF83" s="13" t="s">
        <v>72</v>
      </c>
      <c r="BG83" s="9">
        <v>2021</v>
      </c>
      <c r="BH83" s="10" t="s">
        <v>93</v>
      </c>
      <c r="BJ83" t="s">
        <v>85</v>
      </c>
    </row>
    <row r="84" spans="1:62" x14ac:dyDescent="0.35">
      <c r="A84" t="s">
        <v>266</v>
      </c>
      <c r="B84">
        <v>-38.658611111111099</v>
      </c>
      <c r="C84">
        <v>-71.820277777777704</v>
      </c>
      <c r="D84" s="8">
        <v>8053</v>
      </c>
      <c r="E84" s="8" t="str">
        <f t="shared" si="8"/>
        <v>Large</v>
      </c>
      <c r="F84" t="s">
        <v>114</v>
      </c>
      <c r="G84" t="s">
        <v>267</v>
      </c>
      <c r="H84">
        <v>2019</v>
      </c>
      <c r="I84" t="s">
        <v>82</v>
      </c>
      <c r="J84" t="s">
        <v>66</v>
      </c>
      <c r="L84" t="s">
        <v>88</v>
      </c>
      <c r="M84" t="s">
        <v>68</v>
      </c>
      <c r="N84" t="s">
        <v>68</v>
      </c>
      <c r="O84" t="s">
        <v>68</v>
      </c>
      <c r="P84" t="s">
        <v>68</v>
      </c>
      <c r="Q84" t="s">
        <v>68</v>
      </c>
      <c r="R84" t="s">
        <v>68</v>
      </c>
      <c r="S84" s="8">
        <f t="shared" si="9"/>
        <v>6</v>
      </c>
      <c r="T84" s="8">
        <v>0</v>
      </c>
      <c r="U84" s="8">
        <f t="shared" si="10"/>
        <v>100</v>
      </c>
      <c r="W84" t="s">
        <v>68</v>
      </c>
      <c r="X84" t="s">
        <v>68</v>
      </c>
      <c r="Y84" t="s">
        <v>68</v>
      </c>
      <c r="Z84" t="s">
        <v>68</v>
      </c>
      <c r="AA84" t="s">
        <v>69</v>
      </c>
      <c r="AB84" t="s">
        <v>69</v>
      </c>
      <c r="AC84" t="s">
        <v>68</v>
      </c>
      <c r="AD84" t="s">
        <v>68</v>
      </c>
      <c r="AE84" t="s">
        <v>68</v>
      </c>
      <c r="AF84" t="s">
        <v>68</v>
      </c>
      <c r="AG84" t="s">
        <v>68</v>
      </c>
      <c r="AH84" t="s">
        <v>68</v>
      </c>
      <c r="AI84" t="s">
        <v>68</v>
      </c>
      <c r="AJ84" t="s">
        <v>68</v>
      </c>
      <c r="AK84" t="s">
        <v>68</v>
      </c>
      <c r="AL84" t="s">
        <v>68</v>
      </c>
      <c r="AM84" t="s">
        <v>68</v>
      </c>
      <c r="AN84" t="s">
        <v>68</v>
      </c>
      <c r="AO84" t="s">
        <v>68</v>
      </c>
      <c r="AP84" t="s">
        <v>69</v>
      </c>
      <c r="AQ84" t="s">
        <v>69</v>
      </c>
      <c r="AR84" t="s">
        <v>69</v>
      </c>
      <c r="AS84" t="s">
        <v>69</v>
      </c>
      <c r="AT84" t="s">
        <v>68</v>
      </c>
      <c r="AU84" t="s">
        <v>68</v>
      </c>
      <c r="AV84" t="s">
        <v>69</v>
      </c>
      <c r="AW84" t="s">
        <v>69</v>
      </c>
      <c r="AX84" t="s">
        <v>68</v>
      </c>
      <c r="AY84" t="s">
        <v>68</v>
      </c>
      <c r="AZ84" t="s">
        <v>68</v>
      </c>
      <c r="BA84" t="s">
        <v>68</v>
      </c>
      <c r="BB84">
        <f>((COUNTIF(W84:AB84, "Yes") + COUNTIF(AC84:AH84, "Yes") + COUNTIF(AI84:AO84, "Yes") + COUNTIF(AP84:AW84, "Yes") + COUNTIF(AX84:BA84, "Yes")) / 31) *100</f>
        <v>74.193548387096769</v>
      </c>
      <c r="BC84">
        <f>COUNTIF(W84:AB84, "Yes") + COUNTIF(AC84:AH84, "Yes") + COUNTIF(AI84:AO84, "Yes") + COUNTIF(AP84:AW84, "Yes") + COUNTIF(AX84:BA84, "Yes")</f>
        <v>23</v>
      </c>
      <c r="BD84" t="str">
        <f t="shared" si="11"/>
        <v>High</v>
      </c>
      <c r="BE84" t="s">
        <v>89</v>
      </c>
      <c r="BF84" s="13" t="s">
        <v>98</v>
      </c>
      <c r="BH84" s="10" t="s">
        <v>99</v>
      </c>
      <c r="BI84" s="8"/>
      <c r="BJ84" t="s">
        <v>71</v>
      </c>
    </row>
    <row r="85" spans="1:62" x14ac:dyDescent="0.35">
      <c r="A85" t="s">
        <v>179</v>
      </c>
      <c r="B85">
        <v>48.883611111111101</v>
      </c>
      <c r="C85">
        <v>10.566388888888801</v>
      </c>
      <c r="D85" s="8">
        <v>1749</v>
      </c>
      <c r="E85" s="8" t="str">
        <f t="shared" si="8"/>
        <v>Medium</v>
      </c>
      <c r="F85" t="s">
        <v>63</v>
      </c>
      <c r="G85" t="s">
        <v>163</v>
      </c>
      <c r="H85">
        <v>2022</v>
      </c>
      <c r="I85" t="s">
        <v>82</v>
      </c>
      <c r="J85" t="s">
        <v>10</v>
      </c>
      <c r="K85" t="s">
        <v>180</v>
      </c>
      <c r="L85" t="s">
        <v>88</v>
      </c>
      <c r="M85" t="s">
        <v>68</v>
      </c>
      <c r="N85" t="s">
        <v>69</v>
      </c>
      <c r="O85" t="s">
        <v>69</v>
      </c>
      <c r="P85" t="s">
        <v>68</v>
      </c>
      <c r="Q85" t="s">
        <v>68</v>
      </c>
      <c r="R85" t="s">
        <v>68</v>
      </c>
      <c r="S85" s="8">
        <f t="shared" si="9"/>
        <v>4</v>
      </c>
      <c r="T85" s="8">
        <v>0</v>
      </c>
      <c r="U85" s="8">
        <f t="shared" si="10"/>
        <v>66.666666666666657</v>
      </c>
      <c r="W85" t="s">
        <v>68</v>
      </c>
      <c r="X85" t="s">
        <v>68</v>
      </c>
      <c r="Y85" t="s">
        <v>68</v>
      </c>
      <c r="Z85" t="s">
        <v>68</v>
      </c>
      <c r="AA85" t="s">
        <v>69</v>
      </c>
      <c r="AB85" t="s">
        <v>69</v>
      </c>
      <c r="AC85" t="s">
        <v>69</v>
      </c>
      <c r="AD85" t="s">
        <v>69</v>
      </c>
      <c r="AE85" t="s">
        <v>69</v>
      </c>
      <c r="AF85" t="s">
        <v>69</v>
      </c>
      <c r="AG85" t="s">
        <v>68</v>
      </c>
      <c r="AH85" t="s">
        <v>69</v>
      </c>
      <c r="AI85" t="s">
        <v>68</v>
      </c>
      <c r="AJ85" t="s">
        <v>68</v>
      </c>
      <c r="AK85" t="s">
        <v>68</v>
      </c>
      <c r="AL85" t="s">
        <v>68</v>
      </c>
      <c r="AM85" t="s">
        <v>68</v>
      </c>
      <c r="AN85" t="s">
        <v>69</v>
      </c>
      <c r="AO85" t="s">
        <v>68</v>
      </c>
      <c r="AP85" t="s">
        <v>68</v>
      </c>
      <c r="AQ85" t="s">
        <v>68</v>
      </c>
      <c r="AR85" t="s">
        <v>68</v>
      </c>
      <c r="AS85" t="s">
        <v>68</v>
      </c>
      <c r="AT85" t="s">
        <v>68</v>
      </c>
      <c r="AU85" t="s">
        <v>69</v>
      </c>
      <c r="AV85" t="s">
        <v>68</v>
      </c>
      <c r="AW85" t="s">
        <v>69</v>
      </c>
      <c r="AX85" t="s">
        <v>68</v>
      </c>
      <c r="AY85" t="s">
        <v>68</v>
      </c>
      <c r="AZ85" t="s">
        <v>68</v>
      </c>
      <c r="BA85" t="s">
        <v>68</v>
      </c>
      <c r="BB85" t="s">
        <v>70</v>
      </c>
      <c r="BC85" t="s">
        <v>70</v>
      </c>
      <c r="BD85" t="s">
        <v>70</v>
      </c>
      <c r="BE85" t="s">
        <v>71</v>
      </c>
      <c r="BF85" t="s">
        <v>71</v>
      </c>
      <c r="BH85" s="10" t="s">
        <v>99</v>
      </c>
      <c r="BI85" s="8"/>
      <c r="BJ85" t="s">
        <v>71</v>
      </c>
    </row>
    <row r="86" spans="1:62" x14ac:dyDescent="0.35">
      <c r="A86" t="s">
        <v>242</v>
      </c>
      <c r="B86">
        <v>-2.8675000000000002</v>
      </c>
      <c r="C86">
        <v>107.955833333333</v>
      </c>
      <c r="D86" s="8">
        <v>4800</v>
      </c>
      <c r="E86" s="8" t="str">
        <f t="shared" si="8"/>
        <v>Medium</v>
      </c>
      <c r="F86" t="s">
        <v>80</v>
      </c>
      <c r="G86" t="s">
        <v>165</v>
      </c>
      <c r="H86">
        <v>2021</v>
      </c>
      <c r="I86" t="s">
        <v>82</v>
      </c>
      <c r="J86" t="s">
        <v>97</v>
      </c>
      <c r="L86" t="s">
        <v>88</v>
      </c>
      <c r="M86" t="s">
        <v>69</v>
      </c>
      <c r="N86" t="s">
        <v>69</v>
      </c>
      <c r="O86" t="s">
        <v>69</v>
      </c>
      <c r="P86" t="s">
        <v>68</v>
      </c>
      <c r="Q86" t="s">
        <v>68</v>
      </c>
      <c r="R86" t="s">
        <v>69</v>
      </c>
      <c r="S86" s="8">
        <f t="shared" si="9"/>
        <v>2</v>
      </c>
      <c r="T86" s="8">
        <v>0</v>
      </c>
      <c r="U86" s="8">
        <f t="shared" si="10"/>
        <v>33.333333333333329</v>
      </c>
      <c r="V86" t="s">
        <v>232</v>
      </c>
      <c r="W86" t="s">
        <v>68</v>
      </c>
      <c r="X86" t="s">
        <v>68</v>
      </c>
      <c r="Y86" t="s">
        <v>68</v>
      </c>
      <c r="Z86" t="s">
        <v>68</v>
      </c>
      <c r="AA86" t="s">
        <v>69</v>
      </c>
      <c r="AB86" t="s">
        <v>69</v>
      </c>
      <c r="AC86" t="s">
        <v>69</v>
      </c>
      <c r="AD86" t="s">
        <v>69</v>
      </c>
      <c r="AE86" t="s">
        <v>68</v>
      </c>
      <c r="AF86" t="s">
        <v>68</v>
      </c>
      <c r="AG86" t="s">
        <v>68</v>
      </c>
      <c r="AH86" t="s">
        <v>68</v>
      </c>
      <c r="AI86" t="s">
        <v>69</v>
      </c>
      <c r="AJ86" t="s">
        <v>68</v>
      </c>
      <c r="AK86" t="s">
        <v>68</v>
      </c>
      <c r="AL86" t="s">
        <v>68</v>
      </c>
      <c r="AM86" t="s">
        <v>69</v>
      </c>
      <c r="AN86" t="s">
        <v>68</v>
      </c>
      <c r="AO86" t="s">
        <v>69</v>
      </c>
      <c r="AP86" t="s">
        <v>68</v>
      </c>
      <c r="AQ86" t="s">
        <v>69</v>
      </c>
      <c r="AR86" t="s">
        <v>69</v>
      </c>
      <c r="AS86" t="s">
        <v>68</v>
      </c>
      <c r="AT86" t="s">
        <v>68</v>
      </c>
      <c r="AU86" t="s">
        <v>69</v>
      </c>
      <c r="AV86" t="s">
        <v>69</v>
      </c>
      <c r="AW86" t="s">
        <v>68</v>
      </c>
      <c r="AX86" t="s">
        <v>68</v>
      </c>
      <c r="AY86" t="s">
        <v>68</v>
      </c>
      <c r="AZ86" t="s">
        <v>69</v>
      </c>
      <c r="BA86" t="s">
        <v>68</v>
      </c>
      <c r="BB86">
        <f>((COUNTIF(W86:AB86, "Yes") + COUNTIF(AC86:AH86, "Yes") + COUNTIF(AI86:AO86, "Yes") + COUNTIF(AP86:AW86, "Yes") + COUNTIF(AX86:BA86, "Yes")) / 31) *100</f>
        <v>61.29032258064516</v>
      </c>
      <c r="BC86">
        <f>COUNTIF(W86:AB86, "Yes") + COUNTIF(AC86:AH86, "Yes") + COUNTIF(AI86:AO86, "Yes") + COUNTIF(AP86:AW86, "Yes") + COUNTIF(AX86:BA86, "Yes")</f>
        <v>19</v>
      </c>
      <c r="BD86" t="str">
        <f t="shared" ref="BD86:BD91" si="12">IF(BB86 &lt;= 33, "Low", IF(BB86 &lt;= 66, "Moderate", "High"))</f>
        <v>Moderate</v>
      </c>
      <c r="BE86" t="s">
        <v>76</v>
      </c>
      <c r="BF86" s="13" t="s">
        <v>77</v>
      </c>
      <c r="BH86" s="10" t="s">
        <v>99</v>
      </c>
      <c r="BJ86" t="s">
        <v>85</v>
      </c>
    </row>
    <row r="87" spans="1:62" x14ac:dyDescent="0.35">
      <c r="A87" t="s">
        <v>181</v>
      </c>
      <c r="B87">
        <v>37.712222222222202</v>
      </c>
      <c r="C87">
        <v>-5.6344444444444397</v>
      </c>
      <c r="D87" s="8">
        <v>1774.84</v>
      </c>
      <c r="E87" s="8" t="str">
        <f t="shared" si="8"/>
        <v>Medium</v>
      </c>
      <c r="F87" t="s">
        <v>63</v>
      </c>
      <c r="G87" t="s">
        <v>74</v>
      </c>
      <c r="H87">
        <v>2011</v>
      </c>
      <c r="I87" t="s">
        <v>87</v>
      </c>
      <c r="J87" t="s">
        <v>75</v>
      </c>
      <c r="L87" t="s">
        <v>67</v>
      </c>
      <c r="M87" t="s">
        <v>69</v>
      </c>
      <c r="N87" t="s">
        <v>69</v>
      </c>
      <c r="O87" t="s">
        <v>69</v>
      </c>
      <c r="P87" t="s">
        <v>69</v>
      </c>
      <c r="Q87" t="s">
        <v>68</v>
      </c>
      <c r="R87" t="s">
        <v>69</v>
      </c>
      <c r="S87" s="8">
        <f t="shared" si="9"/>
        <v>1</v>
      </c>
      <c r="T87" s="8">
        <v>0</v>
      </c>
      <c r="U87" s="8">
        <f t="shared" si="10"/>
        <v>16.666666666666664</v>
      </c>
      <c r="W87" t="s">
        <v>68</v>
      </c>
      <c r="X87" t="s">
        <v>68</v>
      </c>
      <c r="Y87" t="s">
        <v>68</v>
      </c>
      <c r="Z87" t="s">
        <v>68</v>
      </c>
      <c r="AA87" t="s">
        <v>69</v>
      </c>
      <c r="AB87" t="s">
        <v>69</v>
      </c>
      <c r="AC87" t="s">
        <v>68</v>
      </c>
      <c r="AD87" t="s">
        <v>69</v>
      </c>
      <c r="AE87" t="s">
        <v>69</v>
      </c>
      <c r="AF87" t="s">
        <v>69</v>
      </c>
      <c r="AG87" t="s">
        <v>68</v>
      </c>
      <c r="AH87" t="s">
        <v>68</v>
      </c>
      <c r="AI87" t="s">
        <v>68</v>
      </c>
      <c r="AJ87" t="s">
        <v>69</v>
      </c>
      <c r="AK87" t="s">
        <v>68</v>
      </c>
      <c r="AL87" t="s">
        <v>68</v>
      </c>
      <c r="AM87" t="s">
        <v>69</v>
      </c>
      <c r="AN87" t="s">
        <v>68</v>
      </c>
      <c r="AO87" t="s">
        <v>69</v>
      </c>
      <c r="AP87" t="s">
        <v>68</v>
      </c>
      <c r="AQ87" t="s">
        <v>68</v>
      </c>
      <c r="AR87" t="s">
        <v>69</v>
      </c>
      <c r="AS87" t="s">
        <v>68</v>
      </c>
      <c r="AT87" t="s">
        <v>68</v>
      </c>
      <c r="AU87" t="s">
        <v>69</v>
      </c>
      <c r="AV87" t="s">
        <v>69</v>
      </c>
      <c r="AW87" t="s">
        <v>69</v>
      </c>
      <c r="AX87" t="s">
        <v>69</v>
      </c>
      <c r="AY87" t="s">
        <v>69</v>
      </c>
      <c r="AZ87" t="s">
        <v>69</v>
      </c>
      <c r="BA87" t="s">
        <v>68</v>
      </c>
      <c r="BB87">
        <f>((COUNTIF(W87:AB87, "Yes") + COUNTIF(AC87:AH87, "Yes") + COUNTIF(AI87:AO87, "Yes") + COUNTIF(AP87:AW87, "Yes") + COUNTIF(AX87:BA87, "Yes")) / 31) *100</f>
        <v>51.612903225806448</v>
      </c>
      <c r="BC87">
        <f>COUNTIF(W87:AB87, "Yes") + COUNTIF(AC87:AH87, "Yes") + COUNTIF(AI87:AO87, "Yes") + COUNTIF(AP87:AW87, "Yes") + COUNTIF(AX87:BA87, "Yes")</f>
        <v>16</v>
      </c>
      <c r="BD87" t="str">
        <f t="shared" si="12"/>
        <v>Moderate</v>
      </c>
      <c r="BE87" t="s">
        <v>89</v>
      </c>
      <c r="BF87" s="13" t="s">
        <v>77</v>
      </c>
      <c r="BH87" s="10" t="s">
        <v>240</v>
      </c>
      <c r="BI87" s="8">
        <v>0.05</v>
      </c>
      <c r="BJ87" t="s">
        <v>78</v>
      </c>
    </row>
    <row r="88" spans="1:62" x14ac:dyDescent="0.35">
      <c r="A88" t="s">
        <v>144</v>
      </c>
      <c r="B88">
        <v>52.9305555555555</v>
      </c>
      <c r="C88">
        <v>6.82527777777777</v>
      </c>
      <c r="D88" s="8">
        <v>1000</v>
      </c>
      <c r="E88" s="8" t="str">
        <f t="shared" si="8"/>
        <v>Medium</v>
      </c>
      <c r="F88" t="s">
        <v>63</v>
      </c>
      <c r="G88" t="s">
        <v>145</v>
      </c>
      <c r="H88">
        <v>2013</v>
      </c>
      <c r="I88" t="s">
        <v>87</v>
      </c>
      <c r="J88" t="s">
        <v>66</v>
      </c>
      <c r="L88" t="s">
        <v>67</v>
      </c>
      <c r="M88" t="s">
        <v>69</v>
      </c>
      <c r="N88" t="s">
        <v>69</v>
      </c>
      <c r="O88" t="s">
        <v>69</v>
      </c>
      <c r="P88" t="s">
        <v>69</v>
      </c>
      <c r="Q88" t="s">
        <v>69</v>
      </c>
      <c r="R88" t="s">
        <v>69</v>
      </c>
      <c r="S88" s="8">
        <f t="shared" si="9"/>
        <v>0</v>
      </c>
      <c r="T88" s="8">
        <v>0</v>
      </c>
      <c r="U88" s="8">
        <f t="shared" si="10"/>
        <v>0</v>
      </c>
      <c r="W88" t="s">
        <v>69</v>
      </c>
      <c r="X88" t="s">
        <v>68</v>
      </c>
      <c r="Y88" t="s">
        <v>68</v>
      </c>
      <c r="Z88" t="s">
        <v>68</v>
      </c>
      <c r="AA88" t="s">
        <v>68</v>
      </c>
      <c r="AB88" t="s">
        <v>69</v>
      </c>
      <c r="AC88" t="s">
        <v>68</v>
      </c>
      <c r="AD88" t="s">
        <v>68</v>
      </c>
      <c r="AE88" t="s">
        <v>69</v>
      </c>
      <c r="AF88" t="s">
        <v>69</v>
      </c>
      <c r="AG88" t="s">
        <v>68</v>
      </c>
      <c r="AH88" t="s">
        <v>69</v>
      </c>
      <c r="AI88" t="s">
        <v>69</v>
      </c>
      <c r="AJ88" t="s">
        <v>68</v>
      </c>
      <c r="AK88" t="s">
        <v>68</v>
      </c>
      <c r="AL88" t="s">
        <v>69</v>
      </c>
      <c r="AM88" t="s">
        <v>68</v>
      </c>
      <c r="AN88" t="s">
        <v>68</v>
      </c>
      <c r="AO88" t="s">
        <v>68</v>
      </c>
      <c r="AP88" t="s">
        <v>69</v>
      </c>
      <c r="AQ88" t="s">
        <v>69</v>
      </c>
      <c r="AR88" t="s">
        <v>68</v>
      </c>
      <c r="AS88" t="s">
        <v>68</v>
      </c>
      <c r="AT88" t="s">
        <v>68</v>
      </c>
      <c r="AU88" t="s">
        <v>68</v>
      </c>
      <c r="AV88" t="s">
        <v>68</v>
      </c>
      <c r="AW88" t="s">
        <v>69</v>
      </c>
      <c r="AX88" t="s">
        <v>69</v>
      </c>
      <c r="AY88" t="s">
        <v>69</v>
      </c>
      <c r="AZ88" t="s">
        <v>69</v>
      </c>
      <c r="BA88" t="s">
        <v>69</v>
      </c>
      <c r="BB88">
        <f>((COUNTIF(W88:AB88, "Yes") + COUNTIF(AC88:AH88, "Yes") + COUNTIF(AI88:AO88, "Yes") + COUNTIF(AP88:AW88, "Yes") + COUNTIF(AX88:BA88, "Yes")) / 31) *100</f>
        <v>54.838709677419352</v>
      </c>
      <c r="BC88">
        <f>COUNTIF(W88:AB88, "Yes") + COUNTIF(AC88:AH88, "Yes") + COUNTIF(AI88:AO88, "Yes") + COUNTIF(AP88:AW88, "Yes") + COUNTIF(AX88:BA88, "Yes")</f>
        <v>17</v>
      </c>
      <c r="BD88" t="str">
        <f t="shared" si="12"/>
        <v>Moderate</v>
      </c>
      <c r="BE88" t="s">
        <v>76</v>
      </c>
      <c r="BF88" s="13" t="s">
        <v>72</v>
      </c>
      <c r="BH88" s="10" t="s">
        <v>240</v>
      </c>
      <c r="BI88" s="8">
        <v>0.05</v>
      </c>
      <c r="BJ88" t="s">
        <v>78</v>
      </c>
    </row>
    <row r="89" spans="1:62" x14ac:dyDescent="0.35">
      <c r="A89" t="s">
        <v>182</v>
      </c>
      <c r="B89">
        <v>35.442222222222199</v>
      </c>
      <c r="C89">
        <v>118.048055555555</v>
      </c>
      <c r="D89" s="8">
        <v>1804.76</v>
      </c>
      <c r="E89" s="8" t="str">
        <f t="shared" si="8"/>
        <v>Medium</v>
      </c>
      <c r="F89" t="s">
        <v>80</v>
      </c>
      <c r="G89" t="s">
        <v>81</v>
      </c>
      <c r="H89">
        <v>2019</v>
      </c>
      <c r="I89" t="s">
        <v>82</v>
      </c>
      <c r="J89" t="s">
        <v>75</v>
      </c>
      <c r="L89" t="s">
        <v>183</v>
      </c>
      <c r="M89" t="s">
        <v>69</v>
      </c>
      <c r="N89" t="s">
        <v>69</v>
      </c>
      <c r="O89" t="s">
        <v>69</v>
      </c>
      <c r="P89" t="s">
        <v>69</v>
      </c>
      <c r="Q89" t="s">
        <v>68</v>
      </c>
      <c r="R89" t="s">
        <v>69</v>
      </c>
      <c r="S89" s="8">
        <f t="shared" si="9"/>
        <v>1</v>
      </c>
      <c r="T89" s="8">
        <v>0</v>
      </c>
      <c r="U89" s="8">
        <f t="shared" si="10"/>
        <v>16.666666666666664</v>
      </c>
      <c r="W89" t="s">
        <v>68</v>
      </c>
      <c r="X89" t="s">
        <v>68</v>
      </c>
      <c r="Y89" t="s">
        <v>69</v>
      </c>
      <c r="Z89" t="s">
        <v>68</v>
      </c>
      <c r="AA89" t="s">
        <v>68</v>
      </c>
      <c r="AB89" t="s">
        <v>69</v>
      </c>
      <c r="AC89" t="s">
        <v>68</v>
      </c>
      <c r="AD89" t="s">
        <v>68</v>
      </c>
      <c r="AE89" t="s">
        <v>69</v>
      </c>
      <c r="AF89" t="s">
        <v>69</v>
      </c>
      <c r="AG89" t="s">
        <v>69</v>
      </c>
      <c r="AH89" t="s">
        <v>69</v>
      </c>
      <c r="AI89" t="s">
        <v>68</v>
      </c>
      <c r="AJ89" t="s">
        <v>69</v>
      </c>
      <c r="AK89" t="s">
        <v>69</v>
      </c>
      <c r="AL89" t="s">
        <v>68</v>
      </c>
      <c r="AM89" t="s">
        <v>68</v>
      </c>
      <c r="AN89" t="s">
        <v>68</v>
      </c>
      <c r="AO89" t="s">
        <v>69</v>
      </c>
      <c r="AP89" t="s">
        <v>69</v>
      </c>
      <c r="AQ89" t="s">
        <v>69</v>
      </c>
      <c r="AR89" t="s">
        <v>68</v>
      </c>
      <c r="AS89" t="s">
        <v>68</v>
      </c>
      <c r="AT89" t="s">
        <v>68</v>
      </c>
      <c r="AU89" t="s">
        <v>69</v>
      </c>
      <c r="AV89" t="s">
        <v>69</v>
      </c>
      <c r="AW89" t="s">
        <v>69</v>
      </c>
      <c r="AX89" t="s">
        <v>69</v>
      </c>
      <c r="AY89" t="s">
        <v>69</v>
      </c>
      <c r="AZ89" t="s">
        <v>69</v>
      </c>
      <c r="BA89" t="s">
        <v>68</v>
      </c>
      <c r="BB89">
        <f>((COUNTIF(W89:AB89, "Yes") + COUNTIF(AC89:AH89, "Yes") + COUNTIF(AI89:AO89, "Yes") + COUNTIF(AP89:AW89, "Yes") + COUNTIF(AX89:BA89, "Yes")) / 31) *100</f>
        <v>45.161290322580641</v>
      </c>
      <c r="BC89">
        <f>COUNTIF(W89:AB89, "Yes") + COUNTIF(AC89:AH89, "Yes") + COUNTIF(AI89:AO89, "Yes") + COUNTIF(AP89:AW89, "Yes") + COUNTIF(AX89:BA89, "Yes")</f>
        <v>14</v>
      </c>
      <c r="BD89" t="str">
        <f t="shared" si="12"/>
        <v>Moderate</v>
      </c>
      <c r="BE89" t="s">
        <v>89</v>
      </c>
      <c r="BF89" s="13" t="s">
        <v>83</v>
      </c>
      <c r="BG89" s="9">
        <v>2017</v>
      </c>
      <c r="BH89" s="10" t="s">
        <v>84</v>
      </c>
      <c r="BI89" s="8">
        <v>5.0000000000000001E-3</v>
      </c>
      <c r="BJ89" t="s">
        <v>78</v>
      </c>
    </row>
    <row r="90" spans="1:62" x14ac:dyDescent="0.35">
      <c r="A90" t="s">
        <v>188</v>
      </c>
      <c r="B90">
        <v>39.9311111111111</v>
      </c>
      <c r="C90">
        <v>16.126111111111101</v>
      </c>
      <c r="D90" s="8">
        <v>1925</v>
      </c>
      <c r="E90" s="8" t="str">
        <f t="shared" si="8"/>
        <v>Medium</v>
      </c>
      <c r="F90" t="s">
        <v>63</v>
      </c>
      <c r="G90" t="s">
        <v>169</v>
      </c>
      <c r="H90">
        <v>2015</v>
      </c>
      <c r="I90" t="s">
        <v>82</v>
      </c>
      <c r="J90" t="s">
        <v>97</v>
      </c>
      <c r="L90" t="s">
        <v>183</v>
      </c>
      <c r="M90" t="s">
        <v>68</v>
      </c>
      <c r="N90" t="s">
        <v>69</v>
      </c>
      <c r="O90" t="s">
        <v>69</v>
      </c>
      <c r="P90" t="s">
        <v>69</v>
      </c>
      <c r="Q90" t="s">
        <v>68</v>
      </c>
      <c r="R90" t="s">
        <v>69</v>
      </c>
      <c r="S90" s="8">
        <f t="shared" si="9"/>
        <v>2</v>
      </c>
      <c r="T90" s="8">
        <v>0</v>
      </c>
      <c r="U90" s="8">
        <f t="shared" si="10"/>
        <v>33.333333333333329</v>
      </c>
      <c r="W90" t="s">
        <v>68</v>
      </c>
      <c r="X90" t="s">
        <v>68</v>
      </c>
      <c r="Y90" t="s">
        <v>68</v>
      </c>
      <c r="Z90" t="s">
        <v>69</v>
      </c>
      <c r="AA90" t="s">
        <v>69</v>
      </c>
      <c r="AB90" t="s">
        <v>69</v>
      </c>
      <c r="AC90" t="s">
        <v>69</v>
      </c>
      <c r="AD90" t="s">
        <v>69</v>
      </c>
      <c r="AE90" t="s">
        <v>69</v>
      </c>
      <c r="AF90" t="s">
        <v>68</v>
      </c>
      <c r="AG90" t="s">
        <v>68</v>
      </c>
      <c r="AH90" t="s">
        <v>69</v>
      </c>
      <c r="AI90" t="s">
        <v>69</v>
      </c>
      <c r="AJ90" t="s">
        <v>69</v>
      </c>
      <c r="AK90" t="s">
        <v>69</v>
      </c>
      <c r="AL90" t="s">
        <v>68</v>
      </c>
      <c r="AM90" t="s">
        <v>69</v>
      </c>
      <c r="AN90" t="s">
        <v>69</v>
      </c>
      <c r="AO90" t="s">
        <v>68</v>
      </c>
      <c r="AP90" t="s">
        <v>69</v>
      </c>
      <c r="AQ90" t="s">
        <v>69</v>
      </c>
      <c r="AR90" t="s">
        <v>68</v>
      </c>
      <c r="AS90" t="s">
        <v>68</v>
      </c>
      <c r="AT90" t="s">
        <v>68</v>
      </c>
      <c r="AU90" t="s">
        <v>69</v>
      </c>
      <c r="AV90" t="s">
        <v>68</v>
      </c>
      <c r="AW90" t="s">
        <v>69</v>
      </c>
      <c r="AX90" t="s">
        <v>69</v>
      </c>
      <c r="AY90" t="s">
        <v>69</v>
      </c>
      <c r="AZ90" t="s">
        <v>69</v>
      </c>
      <c r="BA90" t="s">
        <v>68</v>
      </c>
      <c r="BB90">
        <f>((COUNTIF(W90:AB90, "Yes") + COUNTIF(AC90:AH90, "Yes") + COUNTIF(AI90:AO90, "Yes") + COUNTIF(AP90:AW90, "Yes") + COUNTIF(AX90:BA90, "Yes")) / 31) *100</f>
        <v>38.70967741935484</v>
      </c>
      <c r="BC90">
        <f>COUNTIF(W90:AB90, "Yes") + COUNTIF(AC90:AH90, "Yes") + COUNTIF(AI90:AO90, "Yes") + COUNTIF(AP90:AW90, "Yes") + COUNTIF(AX90:BA90, "Yes")</f>
        <v>12</v>
      </c>
      <c r="BD90" t="str">
        <f t="shared" si="12"/>
        <v>Moderate</v>
      </c>
      <c r="BE90" t="s">
        <v>89</v>
      </c>
      <c r="BF90" s="13" t="s">
        <v>98</v>
      </c>
      <c r="BG90" s="9">
        <v>2022</v>
      </c>
      <c r="BH90" s="10" t="s">
        <v>72</v>
      </c>
      <c r="BI90" s="8">
        <v>0.05</v>
      </c>
      <c r="BJ90" t="s">
        <v>78</v>
      </c>
    </row>
    <row r="91" spans="1:62" x14ac:dyDescent="0.35">
      <c r="A91" t="s">
        <v>157</v>
      </c>
      <c r="B91">
        <v>48.588611111111099</v>
      </c>
      <c r="C91">
        <v>-53.4155555555555</v>
      </c>
      <c r="D91" s="8">
        <v>1150</v>
      </c>
      <c r="E91" s="8" t="str">
        <f t="shared" si="8"/>
        <v>Medium</v>
      </c>
      <c r="F91" t="s">
        <v>122</v>
      </c>
      <c r="G91" t="s">
        <v>123</v>
      </c>
      <c r="H91">
        <v>2020</v>
      </c>
      <c r="I91" t="s">
        <v>82</v>
      </c>
      <c r="J91" t="s">
        <v>66</v>
      </c>
      <c r="L91" t="s">
        <v>112</v>
      </c>
      <c r="M91" t="s">
        <v>68</v>
      </c>
      <c r="N91" t="s">
        <v>69</v>
      </c>
      <c r="O91" t="s">
        <v>69</v>
      </c>
      <c r="P91" t="s">
        <v>68</v>
      </c>
      <c r="Q91" t="s">
        <v>68</v>
      </c>
      <c r="R91" t="s">
        <v>68</v>
      </c>
      <c r="S91" s="8">
        <f t="shared" si="9"/>
        <v>4</v>
      </c>
      <c r="T91" s="8">
        <v>0</v>
      </c>
      <c r="U91" s="8">
        <f t="shared" si="10"/>
        <v>66.666666666666657</v>
      </c>
      <c r="W91" t="s">
        <v>69</v>
      </c>
      <c r="X91" t="s">
        <v>68</v>
      </c>
      <c r="Y91" t="s">
        <v>68</v>
      </c>
      <c r="Z91" t="s">
        <v>69</v>
      </c>
      <c r="AA91" t="s">
        <v>69</v>
      </c>
      <c r="AB91" t="s">
        <v>69</v>
      </c>
      <c r="AC91" t="s">
        <v>69</v>
      </c>
      <c r="AD91" t="s">
        <v>69</v>
      </c>
      <c r="AE91" t="s">
        <v>69</v>
      </c>
      <c r="AF91" t="s">
        <v>68</v>
      </c>
      <c r="AG91" t="s">
        <v>69</v>
      </c>
      <c r="AH91" t="s">
        <v>68</v>
      </c>
      <c r="AI91" t="s">
        <v>68</v>
      </c>
      <c r="AJ91" t="s">
        <v>68</v>
      </c>
      <c r="AK91" t="s">
        <v>68</v>
      </c>
      <c r="AL91" t="s">
        <v>69</v>
      </c>
      <c r="AM91" t="s">
        <v>68</v>
      </c>
      <c r="AN91" t="s">
        <v>69</v>
      </c>
      <c r="AO91" t="s">
        <v>69</v>
      </c>
      <c r="AP91" t="s">
        <v>68</v>
      </c>
      <c r="AQ91" t="s">
        <v>69</v>
      </c>
      <c r="AR91" t="s">
        <v>69</v>
      </c>
      <c r="AS91" t="s">
        <v>69</v>
      </c>
      <c r="AT91" t="s">
        <v>69</v>
      </c>
      <c r="AU91" t="s">
        <v>69</v>
      </c>
      <c r="AV91" t="s">
        <v>69</v>
      </c>
      <c r="AW91" t="s">
        <v>69</v>
      </c>
      <c r="AX91" t="s">
        <v>69</v>
      </c>
      <c r="AY91" t="s">
        <v>68</v>
      </c>
      <c r="AZ91" t="s">
        <v>69</v>
      </c>
      <c r="BA91" t="s">
        <v>69</v>
      </c>
      <c r="BB91">
        <f>((COUNTIF(W91:AB91, "Yes") + COUNTIF(AC91:AH91, "Yes") + COUNTIF(AI91:AO91, "Yes") + COUNTIF(AP91:AW91, "Yes") + COUNTIF(AX91:BA91, "Yes")) / 31) *100</f>
        <v>32.258064516129032</v>
      </c>
      <c r="BC91">
        <f>COUNTIF(W91:AB91, "Yes") + COUNTIF(AC91:AH91, "Yes") + COUNTIF(AI91:AO91, "Yes") + COUNTIF(AP91:AW91, "Yes") + COUNTIF(AX91:BA91, "Yes")</f>
        <v>10</v>
      </c>
      <c r="BD91" t="str">
        <f t="shared" si="12"/>
        <v>Low</v>
      </c>
      <c r="BE91" t="s">
        <v>76</v>
      </c>
      <c r="BF91" s="13" t="s">
        <v>98</v>
      </c>
      <c r="BG91" s="9">
        <v>2023</v>
      </c>
      <c r="BH91" s="10" t="s">
        <v>72</v>
      </c>
      <c r="BJ91" t="s">
        <v>85</v>
      </c>
    </row>
    <row r="92" spans="1:62" x14ac:dyDescent="0.35">
      <c r="A92" t="s">
        <v>254</v>
      </c>
      <c r="B92">
        <v>-15.9333333333333</v>
      </c>
      <c r="C92">
        <v>-72.283333333333303</v>
      </c>
      <c r="D92" s="8">
        <v>6010.91</v>
      </c>
      <c r="E92" s="8" t="str">
        <f t="shared" si="8"/>
        <v>Large</v>
      </c>
      <c r="F92" t="s">
        <v>114</v>
      </c>
      <c r="G92" t="s">
        <v>255</v>
      </c>
      <c r="H92">
        <v>2019</v>
      </c>
      <c r="I92" t="s">
        <v>82</v>
      </c>
      <c r="J92" t="s">
        <v>66</v>
      </c>
      <c r="L92" t="s">
        <v>112</v>
      </c>
      <c r="M92" t="s">
        <v>69</v>
      </c>
      <c r="N92" t="s">
        <v>69</v>
      </c>
      <c r="O92" t="s">
        <v>69</v>
      </c>
      <c r="P92" t="s">
        <v>68</v>
      </c>
      <c r="Q92" t="s">
        <v>69</v>
      </c>
      <c r="R92" t="s">
        <v>68</v>
      </c>
      <c r="S92" s="8">
        <f t="shared" si="9"/>
        <v>2</v>
      </c>
      <c r="T92" s="8">
        <v>0</v>
      </c>
      <c r="U92" s="8">
        <f t="shared" si="10"/>
        <v>33.333333333333329</v>
      </c>
      <c r="W92" t="s">
        <v>68</v>
      </c>
      <c r="X92" t="s">
        <v>68</v>
      </c>
      <c r="Y92" t="s">
        <v>69</v>
      </c>
      <c r="Z92" t="s">
        <v>68</v>
      </c>
      <c r="AA92" t="s">
        <v>69</v>
      </c>
      <c r="AB92" t="s">
        <v>69</v>
      </c>
      <c r="AC92" t="s">
        <v>68</v>
      </c>
      <c r="AD92" t="s">
        <v>69</v>
      </c>
      <c r="AE92" t="s">
        <v>69</v>
      </c>
      <c r="AF92" t="s">
        <v>69</v>
      </c>
      <c r="AG92" t="s">
        <v>69</v>
      </c>
      <c r="AH92" t="s">
        <v>69</v>
      </c>
      <c r="AI92" t="s">
        <v>68</v>
      </c>
      <c r="AJ92" t="s">
        <v>69</v>
      </c>
      <c r="AK92" t="s">
        <v>69</v>
      </c>
      <c r="AL92" t="s">
        <v>69</v>
      </c>
      <c r="AM92" t="s">
        <v>69</v>
      </c>
      <c r="AN92" t="s">
        <v>69</v>
      </c>
      <c r="AO92" t="s">
        <v>69</v>
      </c>
      <c r="AP92" t="s">
        <v>68</v>
      </c>
      <c r="AQ92" t="s">
        <v>69</v>
      </c>
      <c r="AR92" t="s">
        <v>69</v>
      </c>
      <c r="AS92" t="s">
        <v>69</v>
      </c>
      <c r="AT92" t="s">
        <v>69</v>
      </c>
      <c r="AU92" t="s">
        <v>69</v>
      </c>
      <c r="AV92" t="s">
        <v>69</v>
      </c>
      <c r="AW92" t="s">
        <v>69</v>
      </c>
      <c r="AX92" t="s">
        <v>69</v>
      </c>
      <c r="AY92" t="s">
        <v>69</v>
      </c>
      <c r="AZ92" t="s">
        <v>69</v>
      </c>
      <c r="BA92" t="s">
        <v>69</v>
      </c>
      <c r="BB92" t="s">
        <v>70</v>
      </c>
      <c r="BC92" t="s">
        <v>70</v>
      </c>
      <c r="BD92" t="s">
        <v>70</v>
      </c>
      <c r="BE92" t="s">
        <v>71</v>
      </c>
      <c r="BF92" t="s">
        <v>71</v>
      </c>
      <c r="BG92" s="9">
        <v>2021</v>
      </c>
      <c r="BH92" s="10" t="s">
        <v>93</v>
      </c>
      <c r="BI92" s="8"/>
      <c r="BJ92" t="s">
        <v>71</v>
      </c>
    </row>
    <row r="93" spans="1:62" x14ac:dyDescent="0.35">
      <c r="A93" t="s">
        <v>270</v>
      </c>
      <c r="B93">
        <v>-3</v>
      </c>
      <c r="C93">
        <v>35.3333333333333</v>
      </c>
      <c r="D93" s="8">
        <v>11886</v>
      </c>
      <c r="E93" s="8" t="str">
        <f t="shared" si="8"/>
        <v>Very Large</v>
      </c>
      <c r="F93" t="s">
        <v>249</v>
      </c>
      <c r="G93" t="s">
        <v>271</v>
      </c>
      <c r="H93">
        <v>2018</v>
      </c>
      <c r="I93" t="s">
        <v>82</v>
      </c>
      <c r="J93" t="s">
        <v>75</v>
      </c>
      <c r="L93" t="s">
        <v>105</v>
      </c>
      <c r="M93" t="s">
        <v>69</v>
      </c>
      <c r="N93" t="s">
        <v>69</v>
      </c>
      <c r="O93" t="s">
        <v>69</v>
      </c>
      <c r="P93" t="s">
        <v>69</v>
      </c>
      <c r="Q93" t="s">
        <v>68</v>
      </c>
      <c r="R93" t="s">
        <v>69</v>
      </c>
      <c r="S93" s="8">
        <f t="shared" si="9"/>
        <v>1</v>
      </c>
      <c r="T93" s="8">
        <v>0</v>
      </c>
      <c r="U93" s="8">
        <f t="shared" si="10"/>
        <v>16.666666666666664</v>
      </c>
      <c r="W93" t="s">
        <v>68</v>
      </c>
      <c r="X93" t="s">
        <v>68</v>
      </c>
      <c r="Y93" t="s">
        <v>69</v>
      </c>
      <c r="Z93" t="s">
        <v>69</v>
      </c>
      <c r="AA93" t="s">
        <v>69</v>
      </c>
      <c r="AB93" t="s">
        <v>69</v>
      </c>
      <c r="AC93" t="s">
        <v>69</v>
      </c>
      <c r="AD93" t="s">
        <v>69</v>
      </c>
      <c r="AE93" t="s">
        <v>69</v>
      </c>
      <c r="AF93" t="s">
        <v>69</v>
      </c>
      <c r="AG93" t="s">
        <v>68</v>
      </c>
      <c r="AH93" t="s">
        <v>69</v>
      </c>
      <c r="AI93" t="s">
        <v>69</v>
      </c>
      <c r="AJ93" t="s">
        <v>69</v>
      </c>
      <c r="AK93" t="s">
        <v>69</v>
      </c>
      <c r="AL93" t="s">
        <v>68</v>
      </c>
      <c r="AM93" t="s">
        <v>69</v>
      </c>
      <c r="AN93" t="s">
        <v>69</v>
      </c>
      <c r="AO93" t="s">
        <v>69</v>
      </c>
      <c r="AP93" t="s">
        <v>68</v>
      </c>
      <c r="AQ93" t="s">
        <v>69</v>
      </c>
      <c r="AR93" t="s">
        <v>69</v>
      </c>
      <c r="AS93" t="s">
        <v>69</v>
      </c>
      <c r="AT93" t="s">
        <v>69</v>
      </c>
      <c r="AU93" t="s">
        <v>69</v>
      </c>
      <c r="AV93" t="s">
        <v>69</v>
      </c>
      <c r="AW93" t="s">
        <v>69</v>
      </c>
      <c r="AX93" t="s">
        <v>69</v>
      </c>
      <c r="AY93" t="s">
        <v>69</v>
      </c>
      <c r="AZ93" t="s">
        <v>69</v>
      </c>
      <c r="BA93" t="s">
        <v>69</v>
      </c>
      <c r="BB93">
        <f>((COUNTIF(W93:AB93, "Yes") + COUNTIF(AC93:AH93, "Yes") + COUNTIF(AI93:AO93, "Yes") + COUNTIF(AP93:AW93, "Yes") + COUNTIF(AX93:BA93, "Yes")) / 31) *100</f>
        <v>16.129032258064516</v>
      </c>
      <c r="BC93">
        <f>COUNTIF(W93:AB93, "Yes") + COUNTIF(AC93:AH93, "Yes") + COUNTIF(AI93:AO93, "Yes") + COUNTIF(AP93:AW93, "Yes") + COUNTIF(AX93:BA93, "Yes")</f>
        <v>5</v>
      </c>
      <c r="BD93" t="str">
        <f t="shared" ref="BD93:BD113" si="13">IF(BB93 &lt;= 33, "Low", IF(BB93 &lt;= 66, "Moderate", "High"))</f>
        <v>Low</v>
      </c>
      <c r="BE93" t="s">
        <v>89</v>
      </c>
      <c r="BF93" s="13" t="s">
        <v>83</v>
      </c>
      <c r="BG93" s="9">
        <v>2023</v>
      </c>
      <c r="BH93" s="10" t="s">
        <v>72</v>
      </c>
      <c r="BJ93" t="s">
        <v>85</v>
      </c>
    </row>
    <row r="94" spans="1:62" x14ac:dyDescent="0.35">
      <c r="A94" t="s">
        <v>212</v>
      </c>
      <c r="B94">
        <v>-6.5583330000000002</v>
      </c>
      <c r="C94" s="11">
        <v>-36.557499999999997</v>
      </c>
      <c r="D94" s="8">
        <v>2800</v>
      </c>
      <c r="E94" s="8" t="str">
        <f t="shared" si="8"/>
        <v>Medium</v>
      </c>
      <c r="F94" t="s">
        <v>114</v>
      </c>
      <c r="G94" t="s">
        <v>213</v>
      </c>
      <c r="H94">
        <v>2022</v>
      </c>
      <c r="I94" t="s">
        <v>82</v>
      </c>
      <c r="J94" t="s">
        <v>10</v>
      </c>
      <c r="K94" t="s">
        <v>214</v>
      </c>
      <c r="L94" t="s">
        <v>105</v>
      </c>
      <c r="M94" t="s">
        <v>68</v>
      </c>
      <c r="N94" t="s">
        <v>69</v>
      </c>
      <c r="O94" t="s">
        <v>69</v>
      </c>
      <c r="P94" t="s">
        <v>68</v>
      </c>
      <c r="Q94" t="s">
        <v>68</v>
      </c>
      <c r="R94" t="s">
        <v>68</v>
      </c>
      <c r="S94" s="8">
        <f t="shared" si="9"/>
        <v>4</v>
      </c>
      <c r="T94" s="8">
        <v>0</v>
      </c>
      <c r="U94" s="8">
        <f t="shared" si="10"/>
        <v>66.666666666666657</v>
      </c>
      <c r="W94" t="s">
        <v>68</v>
      </c>
      <c r="X94" t="s">
        <v>68</v>
      </c>
      <c r="Y94" t="s">
        <v>69</v>
      </c>
      <c r="Z94" t="s">
        <v>68</v>
      </c>
      <c r="AA94" t="s">
        <v>69</v>
      </c>
      <c r="AB94" t="s">
        <v>69</v>
      </c>
      <c r="AC94" t="s">
        <v>68</v>
      </c>
      <c r="AD94" t="s">
        <v>69</v>
      </c>
      <c r="AE94" t="s">
        <v>68</v>
      </c>
      <c r="AF94" t="s">
        <v>69</v>
      </c>
      <c r="AG94" t="s">
        <v>68</v>
      </c>
      <c r="AH94" t="s">
        <v>69</v>
      </c>
      <c r="AI94" t="s">
        <v>68</v>
      </c>
      <c r="AJ94" t="s">
        <v>68</v>
      </c>
      <c r="AK94" t="s">
        <v>68</v>
      </c>
      <c r="AL94" t="s">
        <v>68</v>
      </c>
      <c r="AM94" t="s">
        <v>68</v>
      </c>
      <c r="AN94" t="s">
        <v>68</v>
      </c>
      <c r="AO94" t="s">
        <v>68</v>
      </c>
      <c r="AP94" t="s">
        <v>68</v>
      </c>
      <c r="AQ94" t="s">
        <v>68</v>
      </c>
      <c r="AR94" t="s">
        <v>69</v>
      </c>
      <c r="AS94" t="s">
        <v>69</v>
      </c>
      <c r="AT94" t="s">
        <v>68</v>
      </c>
      <c r="AU94" t="s">
        <v>69</v>
      </c>
      <c r="AV94" t="s">
        <v>69</v>
      </c>
      <c r="AW94" t="s">
        <v>69</v>
      </c>
      <c r="AX94" t="s">
        <v>69</v>
      </c>
      <c r="AY94" t="s">
        <v>68</v>
      </c>
      <c r="AZ94" t="s">
        <v>69</v>
      </c>
      <c r="BA94" t="s">
        <v>69</v>
      </c>
      <c r="BB94">
        <f>((COUNTIF(W94:AB94, "Yes") + COUNTIF(AC94:AH94, "Yes") + COUNTIF(AI94:AO94, "Yes") + COUNTIF(AP94:AW94, "Yes") + COUNTIF(AX94:BA94, "Yes")) / 31) *100</f>
        <v>54.838709677419352</v>
      </c>
      <c r="BC94">
        <f>COUNTIF(W94:AB94, "Yes") + COUNTIF(AC94:AH94, "Yes") + COUNTIF(AI94:AO94, "Yes") + COUNTIF(AP94:AW94, "Yes") + COUNTIF(AX94:BA94, "Yes")</f>
        <v>17</v>
      </c>
      <c r="BD94" t="str">
        <f t="shared" si="13"/>
        <v>Moderate</v>
      </c>
      <c r="BE94" t="s">
        <v>76</v>
      </c>
      <c r="BF94" s="13" t="s">
        <v>98</v>
      </c>
      <c r="BG94" s="9">
        <v>2021</v>
      </c>
      <c r="BH94" s="10" t="s">
        <v>93</v>
      </c>
      <c r="BI94" s="8">
        <v>0.02</v>
      </c>
      <c r="BJ94" t="s">
        <v>78</v>
      </c>
    </row>
    <row r="95" spans="1:62" x14ac:dyDescent="0.35">
      <c r="A95" t="s">
        <v>253</v>
      </c>
      <c r="B95">
        <v>61.268055555555499</v>
      </c>
      <c r="C95">
        <v>28.212777777777699</v>
      </c>
      <c r="D95" s="8">
        <v>6000</v>
      </c>
      <c r="E95" s="8" t="str">
        <f t="shared" si="8"/>
        <v>Large</v>
      </c>
      <c r="F95" t="s">
        <v>63</v>
      </c>
      <c r="G95" t="s">
        <v>172</v>
      </c>
      <c r="H95">
        <v>2021</v>
      </c>
      <c r="I95" t="s">
        <v>82</v>
      </c>
      <c r="J95" t="s">
        <v>66</v>
      </c>
      <c r="L95" t="s">
        <v>105</v>
      </c>
      <c r="M95" t="s">
        <v>69</v>
      </c>
      <c r="N95" t="s">
        <v>69</v>
      </c>
      <c r="O95" t="s">
        <v>69</v>
      </c>
      <c r="P95" t="s">
        <v>68</v>
      </c>
      <c r="Q95" t="s">
        <v>68</v>
      </c>
      <c r="R95" t="s">
        <v>69</v>
      </c>
      <c r="S95" s="8">
        <f t="shared" si="9"/>
        <v>2</v>
      </c>
      <c r="T95" s="8">
        <v>0</v>
      </c>
      <c r="U95" s="8">
        <f t="shared" si="10"/>
        <v>33.333333333333329</v>
      </c>
      <c r="W95" t="s">
        <v>68</v>
      </c>
      <c r="X95" t="s">
        <v>68</v>
      </c>
      <c r="Y95" t="s">
        <v>69</v>
      </c>
      <c r="Z95" t="s">
        <v>69</v>
      </c>
      <c r="AA95" t="s">
        <v>69</v>
      </c>
      <c r="AB95" t="s">
        <v>69</v>
      </c>
      <c r="AC95" t="s">
        <v>69</v>
      </c>
      <c r="AD95" t="s">
        <v>69</v>
      </c>
      <c r="AE95" t="s">
        <v>69</v>
      </c>
      <c r="AF95" t="s">
        <v>69</v>
      </c>
      <c r="AG95" t="s">
        <v>68</v>
      </c>
      <c r="AH95" t="s">
        <v>68</v>
      </c>
      <c r="AI95" t="s">
        <v>69</v>
      </c>
      <c r="AJ95" t="s">
        <v>69</v>
      </c>
      <c r="AK95" t="s">
        <v>68</v>
      </c>
      <c r="AL95" t="s">
        <v>68</v>
      </c>
      <c r="AM95" t="s">
        <v>69</v>
      </c>
      <c r="AN95" t="s">
        <v>69</v>
      </c>
      <c r="AO95" t="s">
        <v>69</v>
      </c>
      <c r="AP95" t="s">
        <v>68</v>
      </c>
      <c r="AQ95" t="s">
        <v>69</v>
      </c>
      <c r="AR95" t="s">
        <v>69</v>
      </c>
      <c r="AS95" t="s">
        <v>69</v>
      </c>
      <c r="AT95" t="s">
        <v>69</v>
      </c>
      <c r="AU95" t="s">
        <v>68</v>
      </c>
      <c r="AV95" t="s">
        <v>69</v>
      </c>
      <c r="AW95" t="s">
        <v>69</v>
      </c>
      <c r="AX95" t="s">
        <v>69</v>
      </c>
      <c r="AY95" t="s">
        <v>69</v>
      </c>
      <c r="AZ95" t="s">
        <v>68</v>
      </c>
      <c r="BA95" t="s">
        <v>69</v>
      </c>
      <c r="BB95">
        <f>((COUNTIF(W95:AB95, "Yes") + COUNTIF(AC95:AH95, "Yes") + COUNTIF(AI95:AO95, "Yes") + COUNTIF(AP95:AW95, "Yes") + COUNTIF(AX95:BA95, "Yes")) / 31) *100</f>
        <v>29.032258064516132</v>
      </c>
      <c r="BC95">
        <f>COUNTIF(W95:AB95, "Yes") + COUNTIF(AC95:AH95, "Yes") + COUNTIF(AI95:AO95, "Yes") + COUNTIF(AP95:AW95, "Yes") + COUNTIF(AX95:BA95, "Yes")</f>
        <v>9</v>
      </c>
      <c r="BD95" t="str">
        <f t="shared" si="13"/>
        <v>Low</v>
      </c>
      <c r="BE95" t="s">
        <v>89</v>
      </c>
      <c r="BF95" s="13" t="s">
        <v>98</v>
      </c>
      <c r="BH95" s="10" t="s">
        <v>99</v>
      </c>
      <c r="BJ95" t="s">
        <v>85</v>
      </c>
    </row>
    <row r="96" spans="1:62" x14ac:dyDescent="0.35">
      <c r="A96" t="s">
        <v>263</v>
      </c>
      <c r="B96">
        <v>54.99</v>
      </c>
      <c r="C96">
        <v>-121.38</v>
      </c>
      <c r="D96" s="8">
        <v>7822</v>
      </c>
      <c r="E96" s="8" t="str">
        <f t="shared" si="8"/>
        <v>Large</v>
      </c>
      <c r="F96" t="s">
        <v>122</v>
      </c>
      <c r="G96" t="s">
        <v>123</v>
      </c>
      <c r="H96">
        <v>2014</v>
      </c>
      <c r="I96" t="s">
        <v>87</v>
      </c>
      <c r="J96" t="s">
        <v>10</v>
      </c>
      <c r="K96" t="s">
        <v>264</v>
      </c>
      <c r="L96" t="s">
        <v>88</v>
      </c>
      <c r="M96" t="s">
        <v>69</v>
      </c>
      <c r="N96" t="s">
        <v>69</v>
      </c>
      <c r="O96" t="s">
        <v>69</v>
      </c>
      <c r="P96" t="s">
        <v>69</v>
      </c>
      <c r="Q96" t="s">
        <v>68</v>
      </c>
      <c r="R96" t="s">
        <v>68</v>
      </c>
      <c r="S96" s="8">
        <f t="shared" si="9"/>
        <v>2</v>
      </c>
      <c r="T96" s="8">
        <v>0</v>
      </c>
      <c r="U96" s="8">
        <f t="shared" si="10"/>
        <v>33.333333333333329</v>
      </c>
      <c r="V96" t="s">
        <v>265</v>
      </c>
      <c r="W96" t="s">
        <v>68</v>
      </c>
      <c r="X96" t="s">
        <v>68</v>
      </c>
      <c r="Y96" t="s">
        <v>68</v>
      </c>
      <c r="Z96" t="s">
        <v>68</v>
      </c>
      <c r="AA96" t="s">
        <v>69</v>
      </c>
      <c r="AB96" t="s">
        <v>69</v>
      </c>
      <c r="AC96" t="s">
        <v>68</v>
      </c>
      <c r="AD96" t="s">
        <v>69</v>
      </c>
      <c r="AE96" t="s">
        <v>68</v>
      </c>
      <c r="AF96" t="s">
        <v>69</v>
      </c>
      <c r="AG96" t="s">
        <v>69</v>
      </c>
      <c r="AH96" t="s">
        <v>68</v>
      </c>
      <c r="AI96" t="s">
        <v>68</v>
      </c>
      <c r="AJ96" t="s">
        <v>68</v>
      </c>
      <c r="AK96" t="s">
        <v>68</v>
      </c>
      <c r="AL96" t="s">
        <v>68</v>
      </c>
      <c r="AM96" t="s">
        <v>69</v>
      </c>
      <c r="AN96" t="s">
        <v>69</v>
      </c>
      <c r="AO96" t="s">
        <v>69</v>
      </c>
      <c r="AP96" t="s">
        <v>68</v>
      </c>
      <c r="AQ96" t="s">
        <v>69</v>
      </c>
      <c r="AR96" t="s">
        <v>68</v>
      </c>
      <c r="AS96" t="s">
        <v>68</v>
      </c>
      <c r="AT96" t="s">
        <v>69</v>
      </c>
      <c r="AU96" t="s">
        <v>69</v>
      </c>
      <c r="AV96" t="s">
        <v>68</v>
      </c>
      <c r="AW96" t="s">
        <v>69</v>
      </c>
      <c r="AX96" t="s">
        <v>69</v>
      </c>
      <c r="AY96" t="s">
        <v>69</v>
      </c>
      <c r="AZ96" t="s">
        <v>69</v>
      </c>
      <c r="BA96" t="s">
        <v>69</v>
      </c>
      <c r="BB96">
        <f>((COUNTIF(W96:AB96, "Yes") + COUNTIF(AC96:AH96, "Yes") + COUNTIF(AI96:AO96, "Yes") + COUNTIF(AP96:AW96, "Yes") + COUNTIF(AX96:BA96, "Yes")) / 31) *100</f>
        <v>48.387096774193552</v>
      </c>
      <c r="BC96">
        <f>COUNTIF(W96:AB96, "Yes") + COUNTIF(AC96:AH96, "Yes") + COUNTIF(AI96:AO96, "Yes") + COUNTIF(AP96:AW96, "Yes") + COUNTIF(AX96:BA96, "Yes")</f>
        <v>15</v>
      </c>
      <c r="BD96" t="str">
        <f t="shared" si="13"/>
        <v>Moderate</v>
      </c>
      <c r="BE96" t="s">
        <v>76</v>
      </c>
      <c r="BF96" s="13" t="s">
        <v>83</v>
      </c>
      <c r="BH96" s="10" t="s">
        <v>99</v>
      </c>
      <c r="BI96" s="8">
        <v>0.2</v>
      </c>
      <c r="BJ96" t="s">
        <v>78</v>
      </c>
    </row>
    <row r="97" spans="1:62" x14ac:dyDescent="0.35">
      <c r="A97" t="s">
        <v>193</v>
      </c>
      <c r="B97">
        <v>42.1661111111111</v>
      </c>
      <c r="C97">
        <v>0.89527777777777695</v>
      </c>
      <c r="D97" s="8">
        <v>2050</v>
      </c>
      <c r="E97" s="8" t="str">
        <f t="shared" si="8"/>
        <v>Medium</v>
      </c>
      <c r="F97" t="s">
        <v>63</v>
      </c>
      <c r="G97" t="s">
        <v>74</v>
      </c>
      <c r="H97">
        <v>2018</v>
      </c>
      <c r="I97" t="s">
        <v>82</v>
      </c>
      <c r="J97" t="s">
        <v>75</v>
      </c>
      <c r="L97" t="s">
        <v>88</v>
      </c>
      <c r="M97" t="s">
        <v>69</v>
      </c>
      <c r="N97" t="s">
        <v>69</v>
      </c>
      <c r="O97" t="s">
        <v>69</v>
      </c>
      <c r="P97" t="s">
        <v>69</v>
      </c>
      <c r="Q97" t="s">
        <v>68</v>
      </c>
      <c r="R97" t="s">
        <v>69</v>
      </c>
      <c r="S97" s="8">
        <f t="shared" si="9"/>
        <v>1</v>
      </c>
      <c r="T97" s="8">
        <v>0</v>
      </c>
      <c r="U97" s="8">
        <f t="shared" si="10"/>
        <v>16.666666666666664</v>
      </c>
      <c r="W97" t="s">
        <v>69</v>
      </c>
      <c r="X97" t="s">
        <v>68</v>
      </c>
      <c r="Y97" t="s">
        <v>68</v>
      </c>
      <c r="Z97" t="s">
        <v>69</v>
      </c>
      <c r="AA97" t="s">
        <v>68</v>
      </c>
      <c r="AB97" t="s">
        <v>69</v>
      </c>
      <c r="AC97" t="s">
        <v>68</v>
      </c>
      <c r="AD97" t="s">
        <v>69</v>
      </c>
      <c r="AE97" t="s">
        <v>68</v>
      </c>
      <c r="AF97" t="s">
        <v>69</v>
      </c>
      <c r="AG97" t="s">
        <v>68</v>
      </c>
      <c r="AH97" t="s">
        <v>69</v>
      </c>
      <c r="AI97" t="s">
        <v>69</v>
      </c>
      <c r="AJ97" t="s">
        <v>69</v>
      </c>
      <c r="AK97" t="s">
        <v>69</v>
      </c>
      <c r="AL97" t="s">
        <v>69</v>
      </c>
      <c r="AM97" t="s">
        <v>69</v>
      </c>
      <c r="AN97" t="s">
        <v>69</v>
      </c>
      <c r="AO97" t="s">
        <v>69</v>
      </c>
      <c r="AP97" t="s">
        <v>68</v>
      </c>
      <c r="AQ97" t="s">
        <v>68</v>
      </c>
      <c r="AR97" t="s">
        <v>69</v>
      </c>
      <c r="AS97" t="s">
        <v>69</v>
      </c>
      <c r="AT97" t="s">
        <v>69</v>
      </c>
      <c r="AU97" t="s">
        <v>69</v>
      </c>
      <c r="AV97" t="s">
        <v>69</v>
      </c>
      <c r="AW97" t="s">
        <v>69</v>
      </c>
      <c r="AX97" t="s">
        <v>68</v>
      </c>
      <c r="AY97" t="s">
        <v>69</v>
      </c>
      <c r="AZ97" t="s">
        <v>69</v>
      </c>
      <c r="BA97" t="s">
        <v>69</v>
      </c>
      <c r="BB97">
        <f>((COUNTIF(W97:AB97, "Yes") + COUNTIF(AC97:AH97, "Yes") + COUNTIF(AI97:AO97, "Yes") + COUNTIF(AP97:AW97, "Yes") + COUNTIF(AX97:BA97, "Yes")) / 31) *100</f>
        <v>29.032258064516132</v>
      </c>
      <c r="BC97">
        <f>COUNTIF(W97:AB97, "Yes") + COUNTIF(AC97:AH97, "Yes") + COUNTIF(AI97:AO97, "Yes") + COUNTIF(AP97:AW97, "Yes") + COUNTIF(AX97:BA97, "Yes")</f>
        <v>9</v>
      </c>
      <c r="BD97" t="str">
        <f t="shared" si="13"/>
        <v>Low</v>
      </c>
      <c r="BE97" t="s">
        <v>89</v>
      </c>
      <c r="BF97" s="13" t="s">
        <v>98</v>
      </c>
      <c r="BG97" s="9">
        <v>2022</v>
      </c>
      <c r="BH97" s="10" t="s">
        <v>72</v>
      </c>
      <c r="BJ97" t="s">
        <v>85</v>
      </c>
    </row>
    <row r="98" spans="1:62" x14ac:dyDescent="0.35">
      <c r="A98" t="s">
        <v>95</v>
      </c>
      <c r="B98">
        <v>49.790277777777703</v>
      </c>
      <c r="C98">
        <v>6.3075000000000001</v>
      </c>
      <c r="D98" s="8">
        <v>256</v>
      </c>
      <c r="E98" s="8" t="str">
        <f t="shared" ref="E98:E113" si="14">IF(D98&lt;1000,"Small",IF(D98&lt;=5000,"Medium",IF(D98&lt;=10000,"Large","Very Large")))</f>
        <v>Small</v>
      </c>
      <c r="F98" t="s">
        <v>63</v>
      </c>
      <c r="G98" t="s">
        <v>96</v>
      </c>
      <c r="H98">
        <v>2022</v>
      </c>
      <c r="I98" t="s">
        <v>82</v>
      </c>
      <c r="J98" t="s">
        <v>97</v>
      </c>
      <c r="L98" t="s">
        <v>88</v>
      </c>
      <c r="M98" t="s">
        <v>69</v>
      </c>
      <c r="N98" t="s">
        <v>69</v>
      </c>
      <c r="O98" t="s">
        <v>69</v>
      </c>
      <c r="P98" t="s">
        <v>68</v>
      </c>
      <c r="Q98" t="s">
        <v>68</v>
      </c>
      <c r="R98" t="s">
        <v>69</v>
      </c>
      <c r="S98" s="8">
        <f t="shared" ref="S98:S129" si="15">COUNTIF(M98:R98, "Yes")</f>
        <v>2</v>
      </c>
      <c r="T98" s="8">
        <v>0</v>
      </c>
      <c r="U98" s="8">
        <f t="shared" ref="U98:U113" si="16">(COUNTIF(M98:R98, "Yes")/6)*100</f>
        <v>33.333333333333329</v>
      </c>
      <c r="W98" t="s">
        <v>68</v>
      </c>
      <c r="X98" t="s">
        <v>68</v>
      </c>
      <c r="Y98" s="12" t="s">
        <v>68</v>
      </c>
      <c r="Z98" s="12" t="s">
        <v>68</v>
      </c>
      <c r="AA98" t="s">
        <v>69</v>
      </c>
      <c r="AB98" s="12" t="s">
        <v>68</v>
      </c>
      <c r="AC98" s="12" t="s">
        <v>68</v>
      </c>
      <c r="AD98" t="s">
        <v>69</v>
      </c>
      <c r="AE98" t="s">
        <v>69</v>
      </c>
      <c r="AF98" s="12" t="s">
        <v>68</v>
      </c>
      <c r="AG98" s="12" t="s">
        <v>68</v>
      </c>
      <c r="AH98" s="12" t="s">
        <v>68</v>
      </c>
      <c r="AI98" t="s">
        <v>69</v>
      </c>
      <c r="AJ98" t="s">
        <v>68</v>
      </c>
      <c r="AK98" t="s">
        <v>68</v>
      </c>
      <c r="AL98" t="s">
        <v>69</v>
      </c>
      <c r="AM98" t="s">
        <v>69</v>
      </c>
      <c r="AN98" t="s">
        <v>69</v>
      </c>
      <c r="AO98" t="s">
        <v>69</v>
      </c>
      <c r="AP98" t="s">
        <v>68</v>
      </c>
      <c r="AQ98" t="s">
        <v>69</v>
      </c>
      <c r="AR98" t="s">
        <v>68</v>
      </c>
      <c r="AS98" t="s">
        <v>68</v>
      </c>
      <c r="AT98" t="s">
        <v>69</v>
      </c>
      <c r="AU98" t="s">
        <v>69</v>
      </c>
      <c r="AV98" t="s">
        <v>68</v>
      </c>
      <c r="AW98" t="s">
        <v>69</v>
      </c>
      <c r="AX98" t="s">
        <v>69</v>
      </c>
      <c r="AY98" t="s">
        <v>69</v>
      </c>
      <c r="AZ98" t="s">
        <v>69</v>
      </c>
      <c r="BA98" t="s">
        <v>69</v>
      </c>
      <c r="BB98">
        <f>((COUNTIF(W98:AB98, "Yes") + COUNTIF(AC98:AH98, "Yes") + COUNTIF(AI98:AO98, "Yes") + COUNTIF(AP98:AW98, "Yes") + COUNTIF(AX98:BA98, "Yes")) / 31) *100</f>
        <v>48.387096774193552</v>
      </c>
      <c r="BC98">
        <f>COUNTIF(W98:AB98, "Yes") + COUNTIF(AC98:AH98, "Yes") + COUNTIF(AI98:AO98, "Yes") + COUNTIF(AP98:AW98, "Yes") + COUNTIF(AX98:BA98, "Yes")</f>
        <v>15</v>
      </c>
      <c r="BD98" t="str">
        <f t="shared" si="13"/>
        <v>Moderate</v>
      </c>
      <c r="BE98" t="s">
        <v>76</v>
      </c>
      <c r="BF98" s="13" t="s">
        <v>83</v>
      </c>
      <c r="BG98" s="9">
        <v>2017</v>
      </c>
      <c r="BH98" s="10" t="s">
        <v>84</v>
      </c>
      <c r="BJ98" t="s">
        <v>85</v>
      </c>
    </row>
    <row r="99" spans="1:62" x14ac:dyDescent="0.35">
      <c r="A99" t="s">
        <v>205</v>
      </c>
      <c r="B99">
        <v>45.579444444444398</v>
      </c>
      <c r="C99">
        <v>-65.544444444444395</v>
      </c>
      <c r="D99" s="8">
        <v>2500</v>
      </c>
      <c r="E99" s="8" t="str">
        <f t="shared" si="14"/>
        <v>Medium</v>
      </c>
      <c r="F99" t="s">
        <v>122</v>
      </c>
      <c r="G99" t="s">
        <v>123</v>
      </c>
      <c r="H99">
        <v>2010</v>
      </c>
      <c r="I99" t="s">
        <v>65</v>
      </c>
      <c r="J99" t="s">
        <v>75</v>
      </c>
      <c r="L99" t="s">
        <v>67</v>
      </c>
      <c r="M99" t="s">
        <v>69</v>
      </c>
      <c r="N99" t="s">
        <v>68</v>
      </c>
      <c r="O99" t="s">
        <v>68</v>
      </c>
      <c r="P99" t="s">
        <v>68</v>
      </c>
      <c r="Q99" t="s">
        <v>68</v>
      </c>
      <c r="R99" t="s">
        <v>69</v>
      </c>
      <c r="S99" s="8">
        <f t="shared" si="15"/>
        <v>4</v>
      </c>
      <c r="T99" s="8">
        <v>0</v>
      </c>
      <c r="U99" s="8">
        <f t="shared" si="16"/>
        <v>66.666666666666657</v>
      </c>
      <c r="W99" t="s">
        <v>68</v>
      </c>
      <c r="X99" t="s">
        <v>68</v>
      </c>
      <c r="Y99" t="s">
        <v>68</v>
      </c>
      <c r="Z99" t="s">
        <v>69</v>
      </c>
      <c r="AA99" t="s">
        <v>69</v>
      </c>
      <c r="AB99" t="s">
        <v>69</v>
      </c>
      <c r="AC99" t="s">
        <v>68</v>
      </c>
      <c r="AD99" t="s">
        <v>69</v>
      </c>
      <c r="AE99" t="s">
        <v>69</v>
      </c>
      <c r="AF99" t="s">
        <v>68</v>
      </c>
      <c r="AG99" t="s">
        <v>68</v>
      </c>
      <c r="AH99" t="s">
        <v>68</v>
      </c>
      <c r="AI99" t="s">
        <v>69</v>
      </c>
      <c r="AJ99" t="s">
        <v>68</v>
      </c>
      <c r="AK99" t="s">
        <v>68</v>
      </c>
      <c r="AL99" t="s">
        <v>68</v>
      </c>
      <c r="AM99" t="s">
        <v>69</v>
      </c>
      <c r="AN99" t="s">
        <v>69</v>
      </c>
      <c r="AO99" t="s">
        <v>68</v>
      </c>
      <c r="AP99" t="s">
        <v>68</v>
      </c>
      <c r="AQ99" t="s">
        <v>69</v>
      </c>
      <c r="AR99" t="s">
        <v>68</v>
      </c>
      <c r="AS99" t="s">
        <v>68</v>
      </c>
      <c r="AT99" t="s">
        <v>68</v>
      </c>
      <c r="AU99" t="s">
        <v>69</v>
      </c>
      <c r="AV99" t="s">
        <v>69</v>
      </c>
      <c r="AW99" t="s">
        <v>68</v>
      </c>
      <c r="AX99" t="s">
        <v>69</v>
      </c>
      <c r="AY99" t="s">
        <v>69</v>
      </c>
      <c r="AZ99" t="s">
        <v>68</v>
      </c>
      <c r="BA99" t="s">
        <v>68</v>
      </c>
      <c r="BB99">
        <f>((COUNTIF(W99:AB99, "Yes") + COUNTIF(AC99:AH99, "Yes") + COUNTIF(AI99:AO99, "Yes") + COUNTIF(AP99:AW99, "Yes") + COUNTIF(AX99:BA99, "Yes")) / 31) *100</f>
        <v>58.064516129032263</v>
      </c>
      <c r="BC99">
        <f>COUNTIF(W99:AB99, "Yes") + COUNTIF(AC99:AH99, "Yes") + COUNTIF(AI99:AO99, "Yes") + COUNTIF(AP99:AW99, "Yes") + COUNTIF(AX99:BA99, "Yes")</f>
        <v>18</v>
      </c>
      <c r="BD99" t="str">
        <f t="shared" si="13"/>
        <v>Moderate</v>
      </c>
      <c r="BE99" t="s">
        <v>76</v>
      </c>
      <c r="BF99" s="13" t="s">
        <v>77</v>
      </c>
      <c r="BG99" s="9">
        <v>2023</v>
      </c>
      <c r="BH99" s="10" t="s">
        <v>72</v>
      </c>
      <c r="BI99" s="8">
        <v>0.2</v>
      </c>
      <c r="BJ99" t="s">
        <v>78</v>
      </c>
    </row>
    <row r="100" spans="1:62" x14ac:dyDescent="0.35">
      <c r="A100" t="s">
        <v>146</v>
      </c>
      <c r="B100">
        <v>31.365555555555499</v>
      </c>
      <c r="C100">
        <v>109.93388888888801</v>
      </c>
      <c r="D100" s="8">
        <v>1022.72</v>
      </c>
      <c r="E100" s="8" t="str">
        <f t="shared" si="14"/>
        <v>Medium</v>
      </c>
      <c r="F100" t="s">
        <v>80</v>
      </c>
      <c r="G100" t="s">
        <v>81</v>
      </c>
      <c r="H100">
        <v>2013</v>
      </c>
      <c r="I100" t="s">
        <v>87</v>
      </c>
      <c r="J100" t="s">
        <v>10</v>
      </c>
      <c r="K100" t="s">
        <v>147</v>
      </c>
      <c r="L100" t="s">
        <v>67</v>
      </c>
      <c r="M100" t="s">
        <v>68</v>
      </c>
      <c r="N100" t="s">
        <v>68</v>
      </c>
      <c r="O100" t="s">
        <v>68</v>
      </c>
      <c r="P100" t="s">
        <v>68</v>
      </c>
      <c r="Q100" t="s">
        <v>68</v>
      </c>
      <c r="R100" t="s">
        <v>68</v>
      </c>
      <c r="S100" s="8">
        <f t="shared" si="15"/>
        <v>6</v>
      </c>
      <c r="T100" s="8">
        <v>0</v>
      </c>
      <c r="U100" s="8">
        <f t="shared" si="16"/>
        <v>100</v>
      </c>
      <c r="W100" t="s">
        <v>68</v>
      </c>
      <c r="X100" t="s">
        <v>68</v>
      </c>
      <c r="Y100" t="s">
        <v>68</v>
      </c>
      <c r="Z100" t="s">
        <v>68</v>
      </c>
      <c r="AA100" t="s">
        <v>68</v>
      </c>
      <c r="AB100" t="s">
        <v>68</v>
      </c>
      <c r="AC100" t="s">
        <v>68</v>
      </c>
      <c r="AD100" t="s">
        <v>68</v>
      </c>
      <c r="AE100" t="s">
        <v>68</v>
      </c>
      <c r="AF100" t="s">
        <v>68</v>
      </c>
      <c r="AG100" t="s">
        <v>68</v>
      </c>
      <c r="AH100" t="s">
        <v>68</v>
      </c>
      <c r="AI100" t="s">
        <v>68</v>
      </c>
      <c r="AJ100" t="s">
        <v>68</v>
      </c>
      <c r="AK100" t="s">
        <v>68</v>
      </c>
      <c r="AL100" t="s">
        <v>68</v>
      </c>
      <c r="AM100" t="s">
        <v>68</v>
      </c>
      <c r="AN100" t="s">
        <v>68</v>
      </c>
      <c r="AO100" t="s">
        <v>68</v>
      </c>
      <c r="AP100" t="s">
        <v>68</v>
      </c>
      <c r="AQ100" t="s">
        <v>68</v>
      </c>
      <c r="AR100" t="s">
        <v>68</v>
      </c>
      <c r="AS100" t="s">
        <v>68</v>
      </c>
      <c r="AT100" t="s">
        <v>68</v>
      </c>
      <c r="AU100" t="s">
        <v>68</v>
      </c>
      <c r="AV100" t="s">
        <v>68</v>
      </c>
      <c r="AW100" t="s">
        <v>68</v>
      </c>
      <c r="AX100" t="s">
        <v>69</v>
      </c>
      <c r="AY100" t="s">
        <v>68</v>
      </c>
      <c r="AZ100" t="s">
        <v>69</v>
      </c>
      <c r="BA100" t="s">
        <v>68</v>
      </c>
      <c r="BB100">
        <f>((COUNTIF(W100:AB100, "Yes") + COUNTIF(AC100:AH100, "Yes") + COUNTIF(AI100:AO100, "Yes") + COUNTIF(AP100:AW100, "Yes") + COUNTIF(AX100:BA100, "Yes")) / 31) *100</f>
        <v>93.548387096774192</v>
      </c>
      <c r="BC100">
        <f>COUNTIF(W100:AB100, "Yes") + COUNTIF(AC100:AH100, "Yes") + COUNTIF(AI100:AO100, "Yes") + COUNTIF(AP100:AW100, "Yes") + COUNTIF(AX100:BA100, "Yes")</f>
        <v>29</v>
      </c>
      <c r="BD100" t="str">
        <f t="shared" si="13"/>
        <v>High</v>
      </c>
      <c r="BE100" t="s">
        <v>89</v>
      </c>
      <c r="BF100" s="13" t="s">
        <v>77</v>
      </c>
      <c r="BG100" s="9">
        <v>2019</v>
      </c>
      <c r="BH100" s="10" t="s">
        <v>84</v>
      </c>
      <c r="BI100" s="8">
        <v>0.25</v>
      </c>
      <c r="BJ100" t="s">
        <v>78</v>
      </c>
    </row>
    <row r="101" spans="1:62" x14ac:dyDescent="0.35">
      <c r="A101" t="s">
        <v>207</v>
      </c>
      <c r="B101">
        <v>39.451944444444401</v>
      </c>
      <c r="C101">
        <v>-5.3274999999999997</v>
      </c>
      <c r="D101" s="8">
        <v>2544.4</v>
      </c>
      <c r="E101" s="8" t="str">
        <f t="shared" si="14"/>
        <v>Medium</v>
      </c>
      <c r="F101" t="s">
        <v>63</v>
      </c>
      <c r="G101" t="s">
        <v>74</v>
      </c>
      <c r="H101">
        <v>2011</v>
      </c>
      <c r="I101" t="s">
        <v>87</v>
      </c>
      <c r="J101" t="s">
        <v>66</v>
      </c>
      <c r="L101" t="s">
        <v>67</v>
      </c>
      <c r="M101" t="s">
        <v>69</v>
      </c>
      <c r="N101" t="s">
        <v>69</v>
      </c>
      <c r="O101" t="s">
        <v>68</v>
      </c>
      <c r="P101" t="s">
        <v>68</v>
      </c>
      <c r="Q101" t="s">
        <v>68</v>
      </c>
      <c r="R101" t="s">
        <v>69</v>
      </c>
      <c r="S101" s="8">
        <f t="shared" si="15"/>
        <v>3</v>
      </c>
      <c r="T101" s="8">
        <v>0</v>
      </c>
      <c r="U101" s="8">
        <f t="shared" si="16"/>
        <v>50</v>
      </c>
      <c r="W101" t="s">
        <v>68</v>
      </c>
      <c r="X101" t="s">
        <v>68</v>
      </c>
      <c r="Y101" t="s">
        <v>68</v>
      </c>
      <c r="Z101" t="s">
        <v>69</v>
      </c>
      <c r="AA101" t="s">
        <v>68</v>
      </c>
      <c r="AB101" t="s">
        <v>69</v>
      </c>
      <c r="AC101" t="s">
        <v>69</v>
      </c>
      <c r="AD101" t="s">
        <v>69</v>
      </c>
      <c r="AE101" t="s">
        <v>68</v>
      </c>
      <c r="AF101" t="s">
        <v>68</v>
      </c>
      <c r="AG101" t="s">
        <v>68</v>
      </c>
      <c r="AH101" t="s">
        <v>68</v>
      </c>
      <c r="AI101" t="s">
        <v>69</v>
      </c>
      <c r="AJ101" t="s">
        <v>68</v>
      </c>
      <c r="AK101" t="s">
        <v>68</v>
      </c>
      <c r="AL101" t="s">
        <v>69</v>
      </c>
      <c r="AM101" t="s">
        <v>69</v>
      </c>
      <c r="AN101" t="s">
        <v>69</v>
      </c>
      <c r="AO101" t="s">
        <v>69</v>
      </c>
      <c r="AP101" t="s">
        <v>68</v>
      </c>
      <c r="AQ101" t="s">
        <v>69</v>
      </c>
      <c r="AR101" t="s">
        <v>69</v>
      </c>
      <c r="AS101" t="s">
        <v>68</v>
      </c>
      <c r="AT101" t="s">
        <v>68</v>
      </c>
      <c r="AU101" t="s">
        <v>69</v>
      </c>
      <c r="AV101" t="s">
        <v>68</v>
      </c>
      <c r="AW101" t="s">
        <v>69</v>
      </c>
      <c r="AX101" t="s">
        <v>68</v>
      </c>
      <c r="AY101" t="s">
        <v>68</v>
      </c>
      <c r="AZ101" t="s">
        <v>69</v>
      </c>
      <c r="BA101" t="s">
        <v>69</v>
      </c>
      <c r="BB101">
        <f>((COUNTIF(W101:AB101, "Yes") + COUNTIF(AC101:AH101, "Yes") + COUNTIF(AI101:AO101, "Yes") + COUNTIF(AP101:AW101, "Yes") + COUNTIF(AX101:BA101, "Yes")) / 31) *100</f>
        <v>51.612903225806448</v>
      </c>
      <c r="BC101">
        <f>COUNTIF(W101:AB101, "Yes") + COUNTIF(AC101:AH101, "Yes") + COUNTIF(AI101:AO101, "Yes") + COUNTIF(AP101:AW101, "Yes") + COUNTIF(AX101:BA101, "Yes")</f>
        <v>16</v>
      </c>
      <c r="BD101" t="str">
        <f t="shared" si="13"/>
        <v>Moderate</v>
      </c>
      <c r="BE101" t="s">
        <v>76</v>
      </c>
      <c r="BF101" s="13" t="s">
        <v>98</v>
      </c>
      <c r="BG101" s="9">
        <v>2022</v>
      </c>
      <c r="BH101" s="10" t="s">
        <v>72</v>
      </c>
      <c r="BI101" s="8">
        <v>0.05</v>
      </c>
      <c r="BJ101" t="s">
        <v>78</v>
      </c>
    </row>
    <row r="102" spans="1:62" x14ac:dyDescent="0.35">
      <c r="A102" t="s">
        <v>118</v>
      </c>
      <c r="B102">
        <v>35.166944444444397</v>
      </c>
      <c r="C102">
        <v>26.1166666666666</v>
      </c>
      <c r="D102" s="8">
        <v>517</v>
      </c>
      <c r="E102" s="8" t="str">
        <f t="shared" si="14"/>
        <v>Small</v>
      </c>
      <c r="F102" t="s">
        <v>63</v>
      </c>
      <c r="G102" t="s">
        <v>119</v>
      </c>
      <c r="H102">
        <v>2015</v>
      </c>
      <c r="I102" t="s">
        <v>82</v>
      </c>
      <c r="J102" t="s">
        <v>75</v>
      </c>
      <c r="L102" t="s">
        <v>67</v>
      </c>
      <c r="M102" t="s">
        <v>69</v>
      </c>
      <c r="N102" t="s">
        <v>69</v>
      </c>
      <c r="O102" t="s">
        <v>69</v>
      </c>
      <c r="P102" t="s">
        <v>69</v>
      </c>
      <c r="Q102" t="s">
        <v>68</v>
      </c>
      <c r="R102" t="s">
        <v>68</v>
      </c>
      <c r="S102" s="8">
        <f t="shared" si="15"/>
        <v>2</v>
      </c>
      <c r="T102" s="8">
        <v>0</v>
      </c>
      <c r="U102" s="8">
        <f t="shared" si="16"/>
        <v>33.333333333333329</v>
      </c>
      <c r="W102" t="s">
        <v>68</v>
      </c>
      <c r="X102" t="s">
        <v>68</v>
      </c>
      <c r="Y102" t="s">
        <v>68</v>
      </c>
      <c r="Z102" t="s">
        <v>68</v>
      </c>
      <c r="AA102" t="s">
        <v>68</v>
      </c>
      <c r="AB102" t="s">
        <v>68</v>
      </c>
      <c r="AC102" t="s">
        <v>68</v>
      </c>
      <c r="AD102" t="s">
        <v>68</v>
      </c>
      <c r="AE102" t="s">
        <v>69</v>
      </c>
      <c r="AF102" t="s">
        <v>68</v>
      </c>
      <c r="AG102" t="s">
        <v>68</v>
      </c>
      <c r="AH102" t="s">
        <v>69</v>
      </c>
      <c r="AI102" t="s">
        <v>68</v>
      </c>
      <c r="AJ102" t="s">
        <v>68</v>
      </c>
      <c r="AK102" t="s">
        <v>68</v>
      </c>
      <c r="AL102" t="s">
        <v>68</v>
      </c>
      <c r="AM102" t="s">
        <v>68</v>
      </c>
      <c r="AN102" t="s">
        <v>68</v>
      </c>
      <c r="AO102" t="s">
        <v>68</v>
      </c>
      <c r="AP102" t="s">
        <v>68</v>
      </c>
      <c r="AQ102" t="s">
        <v>69</v>
      </c>
      <c r="AR102" t="s">
        <v>69</v>
      </c>
      <c r="AS102" t="s">
        <v>69</v>
      </c>
      <c r="AT102" t="s">
        <v>68</v>
      </c>
      <c r="AU102" t="s">
        <v>68</v>
      </c>
      <c r="AV102" t="s">
        <v>69</v>
      </c>
      <c r="AW102" t="s">
        <v>69</v>
      </c>
      <c r="AX102" t="s">
        <v>69</v>
      </c>
      <c r="AY102" t="s">
        <v>69</v>
      </c>
      <c r="AZ102" t="s">
        <v>68</v>
      </c>
      <c r="BA102" t="s">
        <v>68</v>
      </c>
      <c r="BB102">
        <f>((COUNTIF(W102:AB102, "Yes") + COUNTIF(AC102:AH102, "Yes") + COUNTIF(AI102:AO102, "Yes") + COUNTIF(AP102:AW102, "Yes") + COUNTIF(AX102:BA102, "Yes")) / 31) *100</f>
        <v>70.967741935483872</v>
      </c>
      <c r="BC102">
        <f>COUNTIF(W102:AB102, "Yes") + COUNTIF(AC102:AH102, "Yes") + COUNTIF(AI102:AO102, "Yes") + COUNTIF(AP102:AW102, "Yes") + COUNTIF(AX102:BA102, "Yes")</f>
        <v>22</v>
      </c>
      <c r="BD102" t="str">
        <f t="shared" si="13"/>
        <v>High</v>
      </c>
      <c r="BE102" t="s">
        <v>89</v>
      </c>
      <c r="BF102" s="13" t="s">
        <v>72</v>
      </c>
      <c r="BG102" s="9">
        <v>2022</v>
      </c>
      <c r="BH102" s="10" t="s">
        <v>72</v>
      </c>
      <c r="BI102" s="8">
        <v>0.05</v>
      </c>
      <c r="BJ102" t="s">
        <v>78</v>
      </c>
    </row>
    <row r="103" spans="1:62" x14ac:dyDescent="0.35">
      <c r="A103" t="s">
        <v>121</v>
      </c>
      <c r="B103">
        <v>48.521666666666597</v>
      </c>
      <c r="C103">
        <v>-64.216944444444394</v>
      </c>
      <c r="D103" s="8">
        <v>555</v>
      </c>
      <c r="E103" s="8" t="str">
        <f t="shared" si="14"/>
        <v>Small</v>
      </c>
      <c r="F103" t="s">
        <v>122</v>
      </c>
      <c r="G103" t="s">
        <v>123</v>
      </c>
      <c r="H103">
        <v>2018</v>
      </c>
      <c r="I103" t="s">
        <v>82</v>
      </c>
      <c r="J103" t="s">
        <v>66</v>
      </c>
      <c r="L103" t="s">
        <v>67</v>
      </c>
      <c r="M103" t="s">
        <v>68</v>
      </c>
      <c r="N103" s="12" t="s">
        <v>68</v>
      </c>
      <c r="O103" t="s">
        <v>68</v>
      </c>
      <c r="P103" t="s">
        <v>68</v>
      </c>
      <c r="Q103" t="s">
        <v>68</v>
      </c>
      <c r="R103" t="s">
        <v>68</v>
      </c>
      <c r="S103" s="8">
        <f t="shared" si="15"/>
        <v>6</v>
      </c>
      <c r="T103" s="8">
        <v>0</v>
      </c>
      <c r="U103" s="8">
        <f t="shared" si="16"/>
        <v>100</v>
      </c>
      <c r="W103" t="s">
        <v>68</v>
      </c>
      <c r="X103" t="s">
        <v>68</v>
      </c>
      <c r="Y103" t="s">
        <v>68</v>
      </c>
      <c r="Z103" t="s">
        <v>69</v>
      </c>
      <c r="AA103" t="s">
        <v>69</v>
      </c>
      <c r="AB103" t="s">
        <v>69</v>
      </c>
      <c r="AC103" t="s">
        <v>68</v>
      </c>
      <c r="AD103" t="s">
        <v>68</v>
      </c>
      <c r="AE103" t="s">
        <v>68</v>
      </c>
      <c r="AF103" t="s">
        <v>68</v>
      </c>
      <c r="AG103" t="s">
        <v>68</v>
      </c>
      <c r="AH103" t="s">
        <v>68</v>
      </c>
      <c r="AI103" t="s">
        <v>68</v>
      </c>
      <c r="AJ103" t="s">
        <v>68</v>
      </c>
      <c r="AK103" t="s">
        <v>68</v>
      </c>
      <c r="AL103" t="s">
        <v>68</v>
      </c>
      <c r="AM103" t="s">
        <v>68</v>
      </c>
      <c r="AN103" t="s">
        <v>68</v>
      </c>
      <c r="AO103" t="s">
        <v>68</v>
      </c>
      <c r="AP103" t="s">
        <v>68</v>
      </c>
      <c r="AQ103" t="s">
        <v>68</v>
      </c>
      <c r="AR103" t="s">
        <v>68</v>
      </c>
      <c r="AS103" t="s">
        <v>68</v>
      </c>
      <c r="AT103" t="s">
        <v>68</v>
      </c>
      <c r="AU103" s="12" t="s">
        <v>68</v>
      </c>
      <c r="AV103" t="s">
        <v>68</v>
      </c>
      <c r="AW103" t="s">
        <v>69</v>
      </c>
      <c r="AX103" t="s">
        <v>69</v>
      </c>
      <c r="AY103" t="s">
        <v>69</v>
      </c>
      <c r="AZ103" t="s">
        <v>68</v>
      </c>
      <c r="BA103" t="s">
        <v>68</v>
      </c>
      <c r="BB103">
        <f>((COUNTIF(W103:AB103, "Yes") + COUNTIF(AC103:AH103, "Yes") + COUNTIF(AI103:AO103, "Yes") + COUNTIF(AP103:AW103, "Yes") + COUNTIF(AX103:BA103, "Yes")) / 31) *100</f>
        <v>80.645161290322577</v>
      </c>
      <c r="BC103">
        <f>COUNTIF(W103:AB103, "Yes") + COUNTIF(AC103:AH103, "Yes") + COUNTIF(AI103:AO103, "Yes") + COUNTIF(AP103:AW103, "Yes") + COUNTIF(AX103:BA103, "Yes")</f>
        <v>25</v>
      </c>
      <c r="BD103" t="str">
        <f t="shared" si="13"/>
        <v>High</v>
      </c>
      <c r="BE103" t="s">
        <v>89</v>
      </c>
      <c r="BF103" s="13" t="s">
        <v>83</v>
      </c>
      <c r="BG103" s="9">
        <v>2022</v>
      </c>
      <c r="BH103" s="10" t="s">
        <v>72</v>
      </c>
      <c r="BI103" s="8">
        <v>0.15</v>
      </c>
      <c r="BJ103" t="s">
        <v>78</v>
      </c>
    </row>
    <row r="104" spans="1:62" x14ac:dyDescent="0.35">
      <c r="A104" t="s">
        <v>269</v>
      </c>
      <c r="B104">
        <v>65.056899999999999</v>
      </c>
      <c r="C104">
        <v>11.558299999999999</v>
      </c>
      <c r="D104" s="8">
        <v>10082</v>
      </c>
      <c r="E104" s="8" t="str">
        <f t="shared" si="14"/>
        <v>Very Large</v>
      </c>
      <c r="F104" t="s">
        <v>63</v>
      </c>
      <c r="G104" t="s">
        <v>219</v>
      </c>
      <c r="H104">
        <v>2019</v>
      </c>
      <c r="I104" t="s">
        <v>82</v>
      </c>
      <c r="J104" t="s">
        <v>66</v>
      </c>
      <c r="L104" t="s">
        <v>67</v>
      </c>
      <c r="M104" t="s">
        <v>68</v>
      </c>
      <c r="N104" t="s">
        <v>69</v>
      </c>
      <c r="O104" t="s">
        <v>69</v>
      </c>
      <c r="P104" t="s">
        <v>68</v>
      </c>
      <c r="Q104" t="s">
        <v>68</v>
      </c>
      <c r="R104" t="s">
        <v>68</v>
      </c>
      <c r="S104" s="8">
        <f t="shared" si="15"/>
        <v>4</v>
      </c>
      <c r="T104" s="8">
        <v>0</v>
      </c>
      <c r="U104" s="8">
        <f t="shared" si="16"/>
        <v>66.666666666666657</v>
      </c>
      <c r="W104" t="s">
        <v>68</v>
      </c>
      <c r="X104" t="s">
        <v>68</v>
      </c>
      <c r="Y104" t="s">
        <v>68</v>
      </c>
      <c r="Z104" t="s">
        <v>68</v>
      </c>
      <c r="AA104" t="s">
        <v>69</v>
      </c>
      <c r="AB104" t="s">
        <v>69</v>
      </c>
      <c r="AC104" t="s">
        <v>69</v>
      </c>
      <c r="AD104" t="s">
        <v>68</v>
      </c>
      <c r="AE104" t="s">
        <v>69</v>
      </c>
      <c r="AF104" t="s">
        <v>68</v>
      </c>
      <c r="AG104" t="s">
        <v>68</v>
      </c>
      <c r="AH104" t="s">
        <v>68</v>
      </c>
      <c r="AI104" t="s">
        <v>69</v>
      </c>
      <c r="AJ104" t="s">
        <v>69</v>
      </c>
      <c r="AK104" t="s">
        <v>69</v>
      </c>
      <c r="AL104" t="s">
        <v>68</v>
      </c>
      <c r="AM104" t="s">
        <v>69</v>
      </c>
      <c r="AN104" t="s">
        <v>69</v>
      </c>
      <c r="AO104" t="s">
        <v>69</v>
      </c>
      <c r="AP104" t="s">
        <v>68</v>
      </c>
      <c r="AQ104" t="s">
        <v>68</v>
      </c>
      <c r="AR104" t="s">
        <v>69</v>
      </c>
      <c r="AS104" t="s">
        <v>69</v>
      </c>
      <c r="AT104" t="s">
        <v>69</v>
      </c>
      <c r="AU104" t="s">
        <v>68</v>
      </c>
      <c r="AV104" t="s">
        <v>69</v>
      </c>
      <c r="AW104" t="s">
        <v>69</v>
      </c>
      <c r="AX104" t="s">
        <v>69</v>
      </c>
      <c r="AY104" t="s">
        <v>68</v>
      </c>
      <c r="AZ104" t="s">
        <v>69</v>
      </c>
      <c r="BA104" t="s">
        <v>68</v>
      </c>
      <c r="BB104">
        <f>((COUNTIF(W104:AB104, "Yes") + COUNTIF(AC104:AH104, "Yes") + COUNTIF(AI104:AO104, "Yes") + COUNTIF(AP104:AW104, "Yes") + COUNTIF(AX104:BA104, "Yes")) / 31) *100</f>
        <v>45.161290322580641</v>
      </c>
      <c r="BC104">
        <f>COUNTIF(W104:AB104, "Yes") + COUNTIF(AC104:AH104, "Yes") + COUNTIF(AI104:AO104, "Yes") + COUNTIF(AP104:AW104, "Yes") + COUNTIF(AX104:BA104, "Yes")</f>
        <v>14</v>
      </c>
      <c r="BD104" t="str">
        <f t="shared" si="13"/>
        <v>Moderate</v>
      </c>
      <c r="BE104" t="s">
        <v>89</v>
      </c>
      <c r="BF104" s="13" t="s">
        <v>98</v>
      </c>
      <c r="BH104" s="10" t="s">
        <v>99</v>
      </c>
      <c r="BI104" s="8">
        <v>0.2</v>
      </c>
      <c r="BJ104" t="s">
        <v>78</v>
      </c>
    </row>
    <row r="105" spans="1:62" x14ac:dyDescent="0.35">
      <c r="A105" t="s">
        <v>185</v>
      </c>
      <c r="B105">
        <v>20.143611111111099</v>
      </c>
      <c r="C105">
        <v>-98.673888888888897</v>
      </c>
      <c r="D105" s="8">
        <v>1848</v>
      </c>
      <c r="E105" s="8" t="str">
        <f t="shared" si="14"/>
        <v>Medium</v>
      </c>
      <c r="F105" t="s">
        <v>114</v>
      </c>
      <c r="G105" t="s">
        <v>115</v>
      </c>
      <c r="H105">
        <v>2017</v>
      </c>
      <c r="I105" t="s">
        <v>82</v>
      </c>
      <c r="J105" t="s">
        <v>10</v>
      </c>
      <c r="K105" t="s">
        <v>186</v>
      </c>
      <c r="L105" t="s">
        <v>67</v>
      </c>
      <c r="M105" t="s">
        <v>69</v>
      </c>
      <c r="N105" t="s">
        <v>69</v>
      </c>
      <c r="O105" t="s">
        <v>69</v>
      </c>
      <c r="P105" t="s">
        <v>68</v>
      </c>
      <c r="Q105" t="s">
        <v>68</v>
      </c>
      <c r="R105" t="s">
        <v>68</v>
      </c>
      <c r="S105" s="8">
        <f t="shared" si="15"/>
        <v>3</v>
      </c>
      <c r="T105" s="8">
        <v>0</v>
      </c>
      <c r="U105" s="8">
        <f t="shared" si="16"/>
        <v>50</v>
      </c>
      <c r="W105" t="s">
        <v>69</v>
      </c>
      <c r="X105" t="s">
        <v>68</v>
      </c>
      <c r="Y105" t="s">
        <v>68</v>
      </c>
      <c r="Z105" t="s">
        <v>69</v>
      </c>
      <c r="AA105" t="s">
        <v>69</v>
      </c>
      <c r="AB105" t="s">
        <v>69</v>
      </c>
      <c r="AC105" t="s">
        <v>69</v>
      </c>
      <c r="AD105" t="s">
        <v>69</v>
      </c>
      <c r="AE105" t="s">
        <v>69</v>
      </c>
      <c r="AF105" t="s">
        <v>68</v>
      </c>
      <c r="AG105" t="s">
        <v>68</v>
      </c>
      <c r="AH105" t="s">
        <v>69</v>
      </c>
      <c r="AI105" t="s">
        <v>69</v>
      </c>
      <c r="AJ105" t="s">
        <v>69</v>
      </c>
      <c r="AK105" t="s">
        <v>68</v>
      </c>
      <c r="AL105" t="s">
        <v>68</v>
      </c>
      <c r="AM105" t="s">
        <v>69</v>
      </c>
      <c r="AN105" t="s">
        <v>68</v>
      </c>
      <c r="AO105" t="s">
        <v>69</v>
      </c>
      <c r="AP105" t="s">
        <v>68</v>
      </c>
      <c r="AQ105" t="s">
        <v>68</v>
      </c>
      <c r="AR105" t="s">
        <v>68</v>
      </c>
      <c r="AS105" t="s">
        <v>69</v>
      </c>
      <c r="AT105" t="s">
        <v>68</v>
      </c>
      <c r="AU105" t="s">
        <v>69</v>
      </c>
      <c r="AV105" t="s">
        <v>68</v>
      </c>
      <c r="AW105" t="s">
        <v>69</v>
      </c>
      <c r="AX105" t="s">
        <v>68</v>
      </c>
      <c r="AY105" t="s">
        <v>68</v>
      </c>
      <c r="AZ105" t="s">
        <v>69</v>
      </c>
      <c r="BA105" t="s">
        <v>69</v>
      </c>
      <c r="BB105">
        <f>((COUNTIF(W105:AB105, "Yes") + COUNTIF(AC105:AH105, "Yes") + COUNTIF(AI105:AO105, "Yes") + COUNTIF(AP105:AW105, "Yes") + COUNTIF(AX105:BA105, "Yes")) / 31) *100</f>
        <v>45.161290322580641</v>
      </c>
      <c r="BC105">
        <f>COUNTIF(W105:AB105, "Yes") + COUNTIF(AC105:AH105, "Yes") + COUNTIF(AI105:AO105, "Yes") + COUNTIF(AP105:AW105, "Yes") + COUNTIF(AX105:BA105, "Yes")</f>
        <v>14</v>
      </c>
      <c r="BD105" t="str">
        <f t="shared" si="13"/>
        <v>Moderate</v>
      </c>
      <c r="BE105" t="s">
        <v>76</v>
      </c>
      <c r="BF105" s="13" t="s">
        <v>83</v>
      </c>
      <c r="BG105" s="9">
        <v>2023</v>
      </c>
      <c r="BH105" s="10" t="s">
        <v>72</v>
      </c>
      <c r="BJ105" t="s">
        <v>85</v>
      </c>
    </row>
    <row r="106" spans="1:62" x14ac:dyDescent="0.35">
      <c r="A106" t="s">
        <v>134</v>
      </c>
      <c r="B106">
        <v>36.514620277777702</v>
      </c>
      <c r="C106">
        <v>136.56548749999999</v>
      </c>
      <c r="D106" s="8">
        <v>754.93</v>
      </c>
      <c r="E106" s="8" t="str">
        <f t="shared" si="14"/>
        <v>Small</v>
      </c>
      <c r="F106" t="s">
        <v>80</v>
      </c>
      <c r="G106" t="s">
        <v>133</v>
      </c>
      <c r="H106">
        <v>2023</v>
      </c>
      <c r="I106" t="s">
        <v>82</v>
      </c>
      <c r="J106" t="s">
        <v>75</v>
      </c>
      <c r="L106" t="s">
        <v>112</v>
      </c>
      <c r="M106" t="s">
        <v>69</v>
      </c>
      <c r="N106" t="s">
        <v>69</v>
      </c>
      <c r="O106" t="s">
        <v>69</v>
      </c>
      <c r="P106" t="s">
        <v>68</v>
      </c>
      <c r="Q106" t="s">
        <v>68</v>
      </c>
      <c r="R106" t="s">
        <v>69</v>
      </c>
      <c r="S106" s="8">
        <f t="shared" si="15"/>
        <v>2</v>
      </c>
      <c r="T106" s="8">
        <v>0</v>
      </c>
      <c r="U106" s="8">
        <f t="shared" si="16"/>
        <v>33.333333333333329</v>
      </c>
      <c r="V106" t="s">
        <v>135</v>
      </c>
      <c r="W106" t="s">
        <v>68</v>
      </c>
      <c r="X106" t="s">
        <v>68</v>
      </c>
      <c r="Y106" t="s">
        <v>68</v>
      </c>
      <c r="Z106" t="s">
        <v>69</v>
      </c>
      <c r="AA106" t="s">
        <v>69</v>
      </c>
      <c r="AB106" t="s">
        <v>69</v>
      </c>
      <c r="AC106" t="s">
        <v>68</v>
      </c>
      <c r="AD106" t="s">
        <v>69</v>
      </c>
      <c r="AE106" t="s">
        <v>68</v>
      </c>
      <c r="AF106" t="s">
        <v>69</v>
      </c>
      <c r="AG106" t="s">
        <v>68</v>
      </c>
      <c r="AH106" t="s">
        <v>69</v>
      </c>
      <c r="AI106" t="s">
        <v>69</v>
      </c>
      <c r="AJ106" t="s">
        <v>69</v>
      </c>
      <c r="AK106" t="s">
        <v>69</v>
      </c>
      <c r="AL106" t="s">
        <v>69</v>
      </c>
      <c r="AM106" t="s">
        <v>69</v>
      </c>
      <c r="AN106" t="s">
        <v>69</v>
      </c>
      <c r="AO106" t="s">
        <v>69</v>
      </c>
      <c r="AP106" t="s">
        <v>68</v>
      </c>
      <c r="AQ106" t="s">
        <v>68</v>
      </c>
      <c r="AR106" t="s">
        <v>69</v>
      </c>
      <c r="AS106" t="s">
        <v>69</v>
      </c>
      <c r="AT106" t="s">
        <v>68</v>
      </c>
      <c r="AU106" t="s">
        <v>69</v>
      </c>
      <c r="AV106" t="s">
        <v>69</v>
      </c>
      <c r="AW106" t="s">
        <v>68</v>
      </c>
      <c r="AX106" t="s">
        <v>68</v>
      </c>
      <c r="AY106" t="s">
        <v>69</v>
      </c>
      <c r="AZ106" t="s">
        <v>69</v>
      </c>
      <c r="BA106" t="s">
        <v>68</v>
      </c>
      <c r="BB106">
        <f>((COUNTIF(W106:AB106, "Yes") + COUNTIF(AC106:AH106, "Yes") + COUNTIF(AI106:AO106, "Yes") + COUNTIF(AP106:AW106, "Yes") + COUNTIF(AX106:BA106, "Yes")) / 31) *100</f>
        <v>38.70967741935484</v>
      </c>
      <c r="BC106">
        <f>COUNTIF(W106:AB106, "Yes") + COUNTIF(AC106:AH106, "Yes") + COUNTIF(AI106:AO106, "Yes") + COUNTIF(AP106:AW106, "Yes") + COUNTIF(AX106:BA106, "Yes")</f>
        <v>12</v>
      </c>
      <c r="BD106" t="str">
        <f t="shared" si="13"/>
        <v>Moderate</v>
      </c>
      <c r="BE106" t="s">
        <v>76</v>
      </c>
      <c r="BF106" s="13" t="s">
        <v>83</v>
      </c>
      <c r="BG106" s="9">
        <v>2023</v>
      </c>
      <c r="BH106" s="10" t="s">
        <v>72</v>
      </c>
      <c r="BJ106" t="s">
        <v>85</v>
      </c>
    </row>
    <row r="107" spans="1:62" x14ac:dyDescent="0.35">
      <c r="A107" t="s">
        <v>104</v>
      </c>
      <c r="B107">
        <v>37.247777777777699</v>
      </c>
      <c r="C107">
        <v>-4.3066666666666604</v>
      </c>
      <c r="D107" s="8">
        <v>320</v>
      </c>
      <c r="E107" s="8" t="str">
        <f t="shared" si="14"/>
        <v>Small</v>
      </c>
      <c r="F107" t="s">
        <v>63</v>
      </c>
      <c r="G107" t="s">
        <v>74</v>
      </c>
      <c r="H107">
        <v>2006</v>
      </c>
      <c r="I107" t="s">
        <v>65</v>
      </c>
      <c r="J107" t="s">
        <v>66</v>
      </c>
      <c r="L107" t="s">
        <v>105</v>
      </c>
      <c r="M107" t="s">
        <v>68</v>
      </c>
      <c r="N107" t="s">
        <v>68</v>
      </c>
      <c r="O107" t="s">
        <v>69</v>
      </c>
      <c r="P107" t="s">
        <v>68</v>
      </c>
      <c r="Q107" t="s">
        <v>68</v>
      </c>
      <c r="R107" t="s">
        <v>68</v>
      </c>
      <c r="S107" s="8">
        <f t="shared" si="15"/>
        <v>5</v>
      </c>
      <c r="T107" s="8">
        <v>0</v>
      </c>
      <c r="U107" s="8">
        <f t="shared" si="16"/>
        <v>83.333333333333343</v>
      </c>
      <c r="W107" t="s">
        <v>69</v>
      </c>
      <c r="X107" t="s">
        <v>68</v>
      </c>
      <c r="Y107" t="s">
        <v>68</v>
      </c>
      <c r="Z107" t="s">
        <v>69</v>
      </c>
      <c r="AA107" t="s">
        <v>69</v>
      </c>
      <c r="AB107" t="s">
        <v>69</v>
      </c>
      <c r="AC107" t="s">
        <v>69</v>
      </c>
      <c r="AD107" t="s">
        <v>69</v>
      </c>
      <c r="AE107" t="s">
        <v>68</v>
      </c>
      <c r="AF107" t="s">
        <v>68</v>
      </c>
      <c r="AG107" t="s">
        <v>68</v>
      </c>
      <c r="AH107" t="s">
        <v>68</v>
      </c>
      <c r="AI107" t="s">
        <v>69</v>
      </c>
      <c r="AJ107" t="s">
        <v>69</v>
      </c>
      <c r="AK107" t="s">
        <v>68</v>
      </c>
      <c r="AL107" t="s">
        <v>68</v>
      </c>
      <c r="AM107" t="s">
        <v>69</v>
      </c>
      <c r="AN107" t="s">
        <v>69</v>
      </c>
      <c r="AO107" t="s">
        <v>69</v>
      </c>
      <c r="AP107" t="s">
        <v>69</v>
      </c>
      <c r="AQ107" t="s">
        <v>68</v>
      </c>
      <c r="AR107" t="s">
        <v>68</v>
      </c>
      <c r="AS107" t="s">
        <v>68</v>
      </c>
      <c r="AT107" t="s">
        <v>68</v>
      </c>
      <c r="AU107" t="s">
        <v>69</v>
      </c>
      <c r="AV107" t="s">
        <v>69</v>
      </c>
      <c r="AW107" t="s">
        <v>68</v>
      </c>
      <c r="AX107" t="s">
        <v>68</v>
      </c>
      <c r="AY107" t="s">
        <v>68</v>
      </c>
      <c r="AZ107" t="s">
        <v>69</v>
      </c>
      <c r="BA107" t="s">
        <v>69</v>
      </c>
      <c r="BB107">
        <f>((COUNTIF(W107:AB107, "Yes") + COUNTIF(AC107:AH107, "Yes") + COUNTIF(AI107:AO107, "Yes") + COUNTIF(AP107:AW107, "Yes") + COUNTIF(AX107:BA107, "Yes")) / 31) *100</f>
        <v>48.387096774193552</v>
      </c>
      <c r="BC107">
        <f>COUNTIF(W107:AB107, "Yes") + COUNTIF(AC107:AH107, "Yes") + COUNTIF(AI107:AO107, "Yes") + COUNTIF(AP107:AW107, "Yes") + COUNTIF(AX107:BA107, "Yes")</f>
        <v>15</v>
      </c>
      <c r="BD107" t="str">
        <f t="shared" si="13"/>
        <v>Moderate</v>
      </c>
      <c r="BE107" t="s">
        <v>89</v>
      </c>
      <c r="BF107" s="13" t="s">
        <v>83</v>
      </c>
      <c r="BH107" s="10" t="s">
        <v>99</v>
      </c>
      <c r="BI107" s="8">
        <v>0.05</v>
      </c>
      <c r="BJ107" t="s">
        <v>78</v>
      </c>
    </row>
    <row r="108" spans="1:62" x14ac:dyDescent="0.35">
      <c r="A108" t="s">
        <v>192</v>
      </c>
      <c r="B108">
        <v>45.991111111111103</v>
      </c>
      <c r="C108">
        <v>8.3433333333333302</v>
      </c>
      <c r="D108" s="8">
        <v>2023</v>
      </c>
      <c r="E108" s="8" t="str">
        <f t="shared" si="14"/>
        <v>Medium</v>
      </c>
      <c r="F108" t="s">
        <v>63</v>
      </c>
      <c r="G108" t="s">
        <v>169</v>
      </c>
      <c r="H108">
        <v>2013</v>
      </c>
      <c r="I108" t="s">
        <v>87</v>
      </c>
      <c r="J108" t="s">
        <v>66</v>
      </c>
      <c r="L108" t="s">
        <v>105</v>
      </c>
      <c r="M108" t="s">
        <v>69</v>
      </c>
      <c r="N108" t="s">
        <v>69</v>
      </c>
      <c r="O108" t="s">
        <v>69</v>
      </c>
      <c r="P108" t="s">
        <v>68</v>
      </c>
      <c r="Q108" t="s">
        <v>69</v>
      </c>
      <c r="R108" t="s">
        <v>68</v>
      </c>
      <c r="S108" s="8">
        <f t="shared" si="15"/>
        <v>2</v>
      </c>
      <c r="T108" s="8">
        <v>0</v>
      </c>
      <c r="U108" s="8">
        <f t="shared" si="16"/>
        <v>33.333333333333329</v>
      </c>
      <c r="W108" t="s">
        <v>69</v>
      </c>
      <c r="X108" t="s">
        <v>68</v>
      </c>
      <c r="Y108" t="s">
        <v>68</v>
      </c>
      <c r="Z108" t="s">
        <v>69</v>
      </c>
      <c r="AA108" t="s">
        <v>69</v>
      </c>
      <c r="AB108" t="s">
        <v>69</v>
      </c>
      <c r="AC108" t="s">
        <v>68</v>
      </c>
      <c r="AD108" t="s">
        <v>69</v>
      </c>
      <c r="AE108" t="s">
        <v>69</v>
      </c>
      <c r="AF108" t="s">
        <v>68</v>
      </c>
      <c r="AG108" t="s">
        <v>68</v>
      </c>
      <c r="AH108" t="s">
        <v>69</v>
      </c>
      <c r="AI108" t="s">
        <v>68</v>
      </c>
      <c r="AJ108" t="s">
        <v>68</v>
      </c>
      <c r="AK108" t="s">
        <v>69</v>
      </c>
      <c r="AL108" t="s">
        <v>69</v>
      </c>
      <c r="AM108" t="s">
        <v>69</v>
      </c>
      <c r="AN108" t="s">
        <v>69</v>
      </c>
      <c r="AO108" t="s">
        <v>69</v>
      </c>
      <c r="AP108" t="s">
        <v>68</v>
      </c>
      <c r="AQ108" t="s">
        <v>69</v>
      </c>
      <c r="AR108" t="s">
        <v>69</v>
      </c>
      <c r="AS108" t="s">
        <v>68</v>
      </c>
      <c r="AT108" t="s">
        <v>68</v>
      </c>
      <c r="AU108" t="s">
        <v>69</v>
      </c>
      <c r="AV108" t="s">
        <v>68</v>
      </c>
      <c r="AW108" t="s">
        <v>69</v>
      </c>
      <c r="AX108" t="s">
        <v>68</v>
      </c>
      <c r="AY108" t="s">
        <v>68</v>
      </c>
      <c r="AZ108" t="s">
        <v>69</v>
      </c>
      <c r="BA108" t="s">
        <v>69</v>
      </c>
      <c r="BB108">
        <f>((COUNTIF(W108:AB108, "Yes") + COUNTIF(AC108:AH108, "Yes") + COUNTIF(AI108:AO108, "Yes") + COUNTIF(AP108:AW108, "Yes") + COUNTIF(AX108:BA108, "Yes")) / 31) *100</f>
        <v>41.935483870967744</v>
      </c>
      <c r="BC108">
        <f>COUNTIF(W108:AB108, "Yes") + COUNTIF(AC108:AH108, "Yes") + COUNTIF(AI108:AO108, "Yes") + COUNTIF(AP108:AW108, "Yes") + COUNTIF(AX108:BA108, "Yes")</f>
        <v>13</v>
      </c>
      <c r="BD108" t="str">
        <f t="shared" si="13"/>
        <v>Moderate</v>
      </c>
      <c r="BE108" t="s">
        <v>89</v>
      </c>
      <c r="BF108" s="13" t="s">
        <v>83</v>
      </c>
      <c r="BG108" s="9">
        <v>2018</v>
      </c>
      <c r="BH108" s="10" t="s">
        <v>84</v>
      </c>
      <c r="BJ108" t="s">
        <v>85</v>
      </c>
    </row>
    <row r="109" spans="1:62" x14ac:dyDescent="0.35">
      <c r="A109" t="s">
        <v>216</v>
      </c>
      <c r="B109">
        <v>-29.195277999999998</v>
      </c>
      <c r="C109">
        <v>-49.947499999999998</v>
      </c>
      <c r="D109" s="8">
        <v>2830.8</v>
      </c>
      <c r="E109" s="8" t="str">
        <f t="shared" si="14"/>
        <v>Medium</v>
      </c>
      <c r="F109" t="s">
        <v>114</v>
      </c>
      <c r="G109" t="s">
        <v>213</v>
      </c>
      <c r="H109">
        <v>2022</v>
      </c>
      <c r="I109" t="s">
        <v>82</v>
      </c>
      <c r="J109" t="s">
        <v>10</v>
      </c>
      <c r="K109" t="s">
        <v>217</v>
      </c>
      <c r="L109" t="s">
        <v>105</v>
      </c>
      <c r="M109" t="s">
        <v>68</v>
      </c>
      <c r="N109" t="s">
        <v>69</v>
      </c>
      <c r="O109" t="s">
        <v>69</v>
      </c>
      <c r="P109" t="s">
        <v>69</v>
      </c>
      <c r="Q109" t="s">
        <v>69</v>
      </c>
      <c r="R109" t="s">
        <v>68</v>
      </c>
      <c r="S109" s="8">
        <f t="shared" si="15"/>
        <v>2</v>
      </c>
      <c r="T109" s="8">
        <v>0</v>
      </c>
      <c r="U109" s="8">
        <f t="shared" si="16"/>
        <v>33.333333333333329</v>
      </c>
      <c r="W109" t="s">
        <v>68</v>
      </c>
      <c r="X109" t="s">
        <v>68</v>
      </c>
      <c r="Y109" t="s">
        <v>69</v>
      </c>
      <c r="Z109" t="s">
        <v>68</v>
      </c>
      <c r="AA109" t="s">
        <v>69</v>
      </c>
      <c r="AB109" t="s">
        <v>69</v>
      </c>
      <c r="AC109" t="s">
        <v>68</v>
      </c>
      <c r="AD109" t="s">
        <v>69</v>
      </c>
      <c r="AE109" t="s">
        <v>69</v>
      </c>
      <c r="AF109" t="s">
        <v>69</v>
      </c>
      <c r="AG109" t="s">
        <v>69</v>
      </c>
      <c r="AH109" t="s">
        <v>69</v>
      </c>
      <c r="AI109" t="s">
        <v>68</v>
      </c>
      <c r="AJ109" t="s">
        <v>69</v>
      </c>
      <c r="AK109" t="s">
        <v>68</v>
      </c>
      <c r="AL109" t="s">
        <v>68</v>
      </c>
      <c r="AM109" t="s">
        <v>69</v>
      </c>
      <c r="AN109" t="s">
        <v>68</v>
      </c>
      <c r="AO109" t="s">
        <v>69</v>
      </c>
      <c r="AP109" t="s">
        <v>68</v>
      </c>
      <c r="AQ109" t="s">
        <v>68</v>
      </c>
      <c r="AR109" t="s">
        <v>68</v>
      </c>
      <c r="AS109" t="s">
        <v>69</v>
      </c>
      <c r="AT109" t="s">
        <v>69</v>
      </c>
      <c r="AU109" t="s">
        <v>68</v>
      </c>
      <c r="AV109" t="s">
        <v>68</v>
      </c>
      <c r="AW109" t="s">
        <v>69</v>
      </c>
      <c r="AX109" t="s">
        <v>68</v>
      </c>
      <c r="AY109" t="s">
        <v>69</v>
      </c>
      <c r="AZ109" t="s">
        <v>69</v>
      </c>
      <c r="BA109" t="s">
        <v>68</v>
      </c>
      <c r="BB109">
        <f>((COUNTIF(W109:AB109, "Yes") + COUNTIF(AC109:AH109, "Yes") + COUNTIF(AI109:AO109, "Yes") + COUNTIF(AP109:AW109, "Yes") + COUNTIF(AX109:BA109, "Yes")) / 31) *100</f>
        <v>48.387096774193552</v>
      </c>
      <c r="BC109">
        <f>COUNTIF(W109:AB109, "Yes") + COUNTIF(AC109:AH109, "Yes") + COUNTIF(AI109:AO109, "Yes") + COUNTIF(AP109:AW109, "Yes") + COUNTIF(AX109:BA109, "Yes")</f>
        <v>15</v>
      </c>
      <c r="BD109" t="str">
        <f t="shared" si="13"/>
        <v>Moderate</v>
      </c>
      <c r="BE109" t="s">
        <v>89</v>
      </c>
      <c r="BF109" s="13" t="s">
        <v>83</v>
      </c>
      <c r="BG109" s="9">
        <v>2017</v>
      </c>
      <c r="BH109" s="10" t="s">
        <v>84</v>
      </c>
      <c r="BJ109" t="s">
        <v>85</v>
      </c>
    </row>
    <row r="110" spans="1:62" x14ac:dyDescent="0.35">
      <c r="A110" t="s">
        <v>174</v>
      </c>
      <c r="B110">
        <v>33.434999999999903</v>
      </c>
      <c r="C110">
        <v>112.18138888888799</v>
      </c>
      <c r="D110" s="8">
        <v>1522</v>
      </c>
      <c r="E110" s="8" t="str">
        <f t="shared" si="14"/>
        <v>Medium</v>
      </c>
      <c r="F110" t="s">
        <v>80</v>
      </c>
      <c r="G110" t="s">
        <v>81</v>
      </c>
      <c r="H110">
        <v>2006</v>
      </c>
      <c r="I110" t="s">
        <v>65</v>
      </c>
      <c r="J110" t="s">
        <v>10</v>
      </c>
      <c r="L110" t="s">
        <v>88</v>
      </c>
      <c r="M110" t="s">
        <v>69</v>
      </c>
      <c r="N110" t="s">
        <v>69</v>
      </c>
      <c r="O110" t="s">
        <v>69</v>
      </c>
      <c r="P110" t="s">
        <v>68</v>
      </c>
      <c r="Q110" t="s">
        <v>68</v>
      </c>
      <c r="R110" t="s">
        <v>69</v>
      </c>
      <c r="S110" s="8">
        <f t="shared" si="15"/>
        <v>2</v>
      </c>
      <c r="T110" s="8">
        <v>0</v>
      </c>
      <c r="U110" s="8">
        <f t="shared" si="16"/>
        <v>33.333333333333329</v>
      </c>
      <c r="W110" t="s">
        <v>68</v>
      </c>
      <c r="X110" t="s">
        <v>68</v>
      </c>
      <c r="Y110" t="s">
        <v>68</v>
      </c>
      <c r="Z110" t="s">
        <v>69</v>
      </c>
      <c r="AA110" t="s">
        <v>69</v>
      </c>
      <c r="AB110" t="s">
        <v>69</v>
      </c>
      <c r="AC110" t="s">
        <v>68</v>
      </c>
      <c r="AD110" t="s">
        <v>69</v>
      </c>
      <c r="AE110" t="s">
        <v>68</v>
      </c>
      <c r="AF110" t="s">
        <v>69</v>
      </c>
      <c r="AG110" t="s">
        <v>69</v>
      </c>
      <c r="AH110" t="s">
        <v>68</v>
      </c>
      <c r="AI110" t="s">
        <v>68</v>
      </c>
      <c r="AJ110" t="s">
        <v>68</v>
      </c>
      <c r="AK110" t="s">
        <v>69</v>
      </c>
      <c r="AL110" t="s">
        <v>69</v>
      </c>
      <c r="AM110" t="s">
        <v>68</v>
      </c>
      <c r="AN110" t="s">
        <v>68</v>
      </c>
      <c r="AO110" t="s">
        <v>69</v>
      </c>
      <c r="AP110" t="s">
        <v>69</v>
      </c>
      <c r="AQ110" t="s">
        <v>69</v>
      </c>
      <c r="AR110" t="s">
        <v>68</v>
      </c>
      <c r="AS110" t="s">
        <v>68</v>
      </c>
      <c r="AT110" t="s">
        <v>68</v>
      </c>
      <c r="AU110" t="s">
        <v>68</v>
      </c>
      <c r="AV110" t="s">
        <v>69</v>
      </c>
      <c r="AW110" t="s">
        <v>69</v>
      </c>
      <c r="AX110" t="s">
        <v>68</v>
      </c>
      <c r="AY110" t="s">
        <v>69</v>
      </c>
      <c r="AZ110" t="s">
        <v>69</v>
      </c>
      <c r="BA110" t="s">
        <v>68</v>
      </c>
      <c r="BB110">
        <f>((COUNTIF(W110:AB110, "Yes") + COUNTIF(AC110:AH110, "Yes") + COUNTIF(AI110:AO110, "Yes") + COUNTIF(AP110:AW110, "Yes") + COUNTIF(AX110:BA110, "Yes")) / 31) *100</f>
        <v>51.612903225806448</v>
      </c>
      <c r="BC110">
        <f>COUNTIF(W110:AB110, "Yes") + COUNTIF(AC110:AH110, "Yes") + COUNTIF(AI110:AO110, "Yes") + COUNTIF(AP110:AW110, "Yes") + COUNTIF(AX110:BA110, "Yes")</f>
        <v>16</v>
      </c>
      <c r="BD110" t="str">
        <f t="shared" si="13"/>
        <v>Moderate</v>
      </c>
      <c r="BE110" t="s">
        <v>76</v>
      </c>
      <c r="BF110" s="13" t="s">
        <v>77</v>
      </c>
      <c r="BG110" s="9">
        <v>2023</v>
      </c>
      <c r="BH110" s="10" t="s">
        <v>72</v>
      </c>
      <c r="BI110" s="8">
        <v>0.2</v>
      </c>
      <c r="BJ110" t="s">
        <v>78</v>
      </c>
    </row>
    <row r="111" spans="1:62" x14ac:dyDescent="0.35">
      <c r="A111" t="s">
        <v>126</v>
      </c>
      <c r="B111">
        <v>38.856944444444402</v>
      </c>
      <c r="C111">
        <v>105.72972222222199</v>
      </c>
      <c r="D111" s="8">
        <v>630.37</v>
      </c>
      <c r="E111" s="8" t="str">
        <f t="shared" si="14"/>
        <v>Small</v>
      </c>
      <c r="F111" t="s">
        <v>80</v>
      </c>
      <c r="G111" t="s">
        <v>81</v>
      </c>
      <c r="H111">
        <v>2009</v>
      </c>
      <c r="I111" t="s">
        <v>65</v>
      </c>
      <c r="J111" t="s">
        <v>75</v>
      </c>
      <c r="L111" t="s">
        <v>88</v>
      </c>
      <c r="M111" t="s">
        <v>68</v>
      </c>
      <c r="N111" t="s">
        <v>69</v>
      </c>
      <c r="O111" t="s">
        <v>69</v>
      </c>
      <c r="P111" t="s">
        <v>68</v>
      </c>
      <c r="Q111" t="s">
        <v>68</v>
      </c>
      <c r="R111" t="s">
        <v>68</v>
      </c>
      <c r="S111" s="8">
        <f t="shared" si="15"/>
        <v>4</v>
      </c>
      <c r="T111" s="8">
        <v>0</v>
      </c>
      <c r="U111" s="8">
        <f t="shared" si="16"/>
        <v>66.666666666666657</v>
      </c>
      <c r="W111" t="s">
        <v>68</v>
      </c>
      <c r="X111" t="s">
        <v>68</v>
      </c>
      <c r="Y111" t="s">
        <v>68</v>
      </c>
      <c r="Z111" t="s">
        <v>68</v>
      </c>
      <c r="AA111" t="s">
        <v>68</v>
      </c>
      <c r="AB111" t="s">
        <v>68</v>
      </c>
      <c r="AC111" t="s">
        <v>69</v>
      </c>
      <c r="AD111" t="s">
        <v>69</v>
      </c>
      <c r="AE111" t="s">
        <v>68</v>
      </c>
      <c r="AF111" t="s">
        <v>68</v>
      </c>
      <c r="AG111" t="s">
        <v>69</v>
      </c>
      <c r="AH111" t="s">
        <v>68</v>
      </c>
      <c r="AI111" t="s">
        <v>68</v>
      </c>
      <c r="AJ111" t="s">
        <v>68</v>
      </c>
      <c r="AK111" t="s">
        <v>68</v>
      </c>
      <c r="AL111" t="s">
        <v>69</v>
      </c>
      <c r="AM111" t="s">
        <v>69</v>
      </c>
      <c r="AN111" t="s">
        <v>68</v>
      </c>
      <c r="AO111" t="s">
        <v>69</v>
      </c>
      <c r="AP111" t="s">
        <v>68</v>
      </c>
      <c r="AQ111" t="s">
        <v>68</v>
      </c>
      <c r="AR111" t="s">
        <v>68</v>
      </c>
      <c r="AS111" t="s">
        <v>68</v>
      </c>
      <c r="AT111" t="s">
        <v>68</v>
      </c>
      <c r="AU111" t="s">
        <v>69</v>
      </c>
      <c r="AV111" t="s">
        <v>68</v>
      </c>
      <c r="AW111" t="s">
        <v>68</v>
      </c>
      <c r="AX111" t="s">
        <v>69</v>
      </c>
      <c r="AY111" t="s">
        <v>68</v>
      </c>
      <c r="AZ111" t="s">
        <v>69</v>
      </c>
      <c r="BA111" t="s">
        <v>68</v>
      </c>
      <c r="BB111">
        <f>((COUNTIF(W111:AB111, "Yes") + COUNTIF(AC111:AH111, "Yes") + COUNTIF(AI111:AO111, "Yes") + COUNTIF(AP111:AW111, "Yes") + COUNTIF(AX111:BA111, "Yes")) / 31) *100</f>
        <v>70.967741935483872</v>
      </c>
      <c r="BC111">
        <f>COUNTIF(W111:AB111, "Yes") + COUNTIF(AC111:AH111, "Yes") + COUNTIF(AI111:AO111, "Yes") + COUNTIF(AP111:AW111, "Yes") + COUNTIF(AX111:BA111, "Yes")</f>
        <v>22</v>
      </c>
      <c r="BD111" t="str">
        <f t="shared" si="13"/>
        <v>High</v>
      </c>
      <c r="BE111" t="s">
        <v>76</v>
      </c>
      <c r="BF111" s="13" t="s">
        <v>77</v>
      </c>
      <c r="BG111" s="9">
        <v>2023</v>
      </c>
      <c r="BH111" s="10" t="s">
        <v>72</v>
      </c>
      <c r="BI111" s="8">
        <v>0.05</v>
      </c>
      <c r="BJ111" t="s">
        <v>78</v>
      </c>
    </row>
    <row r="112" spans="1:62" x14ac:dyDescent="0.35">
      <c r="A112" t="s">
        <v>229</v>
      </c>
      <c r="B112">
        <v>-7.229444</v>
      </c>
      <c r="C112">
        <v>-39.408889000000002</v>
      </c>
      <c r="D112" s="8">
        <v>3441</v>
      </c>
      <c r="E112" s="8" t="str">
        <f t="shared" si="14"/>
        <v>Medium</v>
      </c>
      <c r="F112" t="s">
        <v>114</v>
      </c>
      <c r="G112" t="s">
        <v>213</v>
      </c>
      <c r="H112">
        <v>2006</v>
      </c>
      <c r="I112" t="s">
        <v>65</v>
      </c>
      <c r="J112" t="s">
        <v>75</v>
      </c>
      <c r="L112" t="s">
        <v>88</v>
      </c>
      <c r="M112" t="s">
        <v>68</v>
      </c>
      <c r="N112" t="s">
        <v>69</v>
      </c>
      <c r="O112" t="s">
        <v>69</v>
      </c>
      <c r="P112" t="s">
        <v>68</v>
      </c>
      <c r="Q112" t="s">
        <v>68</v>
      </c>
      <c r="R112" t="s">
        <v>68</v>
      </c>
      <c r="S112" s="8">
        <f t="shared" si="15"/>
        <v>4</v>
      </c>
      <c r="T112" s="8">
        <v>0</v>
      </c>
      <c r="U112" s="8">
        <f t="shared" si="16"/>
        <v>66.666666666666657</v>
      </c>
      <c r="W112" t="s">
        <v>68</v>
      </c>
      <c r="X112" t="s">
        <v>68</v>
      </c>
      <c r="Y112" t="s">
        <v>68</v>
      </c>
      <c r="Z112" t="s">
        <v>68</v>
      </c>
      <c r="AA112" t="s">
        <v>68</v>
      </c>
      <c r="AB112" t="s">
        <v>68</v>
      </c>
      <c r="AC112" t="s">
        <v>68</v>
      </c>
      <c r="AD112" t="s">
        <v>69</v>
      </c>
      <c r="AE112" t="s">
        <v>69</v>
      </c>
      <c r="AF112" t="s">
        <v>69</v>
      </c>
      <c r="AG112" t="s">
        <v>68</v>
      </c>
      <c r="AH112" t="s">
        <v>68</v>
      </c>
      <c r="AI112" t="s">
        <v>68</v>
      </c>
      <c r="AJ112" t="s">
        <v>68</v>
      </c>
      <c r="AK112" t="s">
        <v>68</v>
      </c>
      <c r="AL112" t="s">
        <v>68</v>
      </c>
      <c r="AM112" t="s">
        <v>69</v>
      </c>
      <c r="AN112" t="s">
        <v>68</v>
      </c>
      <c r="AO112" t="s">
        <v>69</v>
      </c>
      <c r="AP112" t="s">
        <v>68</v>
      </c>
      <c r="AQ112" t="s">
        <v>68</v>
      </c>
      <c r="AR112" t="s">
        <v>68</v>
      </c>
      <c r="AS112" t="s">
        <v>69</v>
      </c>
      <c r="AT112" t="s">
        <v>68</v>
      </c>
      <c r="AU112" t="s">
        <v>69</v>
      </c>
      <c r="AV112" t="s">
        <v>69</v>
      </c>
      <c r="AW112" t="s">
        <v>69</v>
      </c>
      <c r="AX112" t="s">
        <v>69</v>
      </c>
      <c r="AY112" t="s">
        <v>68</v>
      </c>
      <c r="AZ112" t="s">
        <v>68</v>
      </c>
      <c r="BA112" t="s">
        <v>69</v>
      </c>
      <c r="BB112">
        <f>((COUNTIF(W112:AB112, "Yes") + COUNTIF(AC112:AH112, "Yes") + COUNTIF(AI112:AO112, "Yes") + COUNTIF(AP112:AW112, "Yes") + COUNTIF(AX112:BA112, "Yes")) / 31) *100</f>
        <v>64.516129032258064</v>
      </c>
      <c r="BC112">
        <f>COUNTIF(W112:AB112, "Yes") + COUNTIF(AC112:AH112, "Yes") + COUNTIF(AI112:AO112, "Yes") + COUNTIF(AP112:AW112, "Yes") + COUNTIF(AX112:BA112, "Yes")</f>
        <v>20</v>
      </c>
      <c r="BD112" t="str">
        <f t="shared" si="13"/>
        <v>Moderate</v>
      </c>
      <c r="BE112" t="s">
        <v>76</v>
      </c>
      <c r="BF112" s="13" t="s">
        <v>83</v>
      </c>
      <c r="BG112" s="9">
        <v>2023</v>
      </c>
      <c r="BH112" s="10" t="s">
        <v>72</v>
      </c>
      <c r="BI112" s="8">
        <v>0.05</v>
      </c>
      <c r="BJ112" t="s">
        <v>78</v>
      </c>
    </row>
    <row r="113" spans="1:62" x14ac:dyDescent="0.35">
      <c r="A113" t="s">
        <v>199</v>
      </c>
      <c r="B113">
        <v>38.609444444444399</v>
      </c>
      <c r="C113">
        <v>28.475277777777698</v>
      </c>
      <c r="D113" s="8">
        <v>2320</v>
      </c>
      <c r="E113" s="8" t="str">
        <f t="shared" si="14"/>
        <v>Medium</v>
      </c>
      <c r="F113" t="s">
        <v>63</v>
      </c>
      <c r="G113" t="s">
        <v>200</v>
      </c>
      <c r="H113">
        <v>2013</v>
      </c>
      <c r="I113" t="s">
        <v>87</v>
      </c>
      <c r="J113" t="s">
        <v>66</v>
      </c>
      <c r="L113" t="s">
        <v>88</v>
      </c>
      <c r="M113" t="s">
        <v>68</v>
      </c>
      <c r="N113" t="s">
        <v>69</v>
      </c>
      <c r="O113" t="s">
        <v>69</v>
      </c>
      <c r="P113" t="s">
        <v>68</v>
      </c>
      <c r="Q113" t="s">
        <v>68</v>
      </c>
      <c r="R113" t="s">
        <v>69</v>
      </c>
      <c r="S113" s="8">
        <f t="shared" si="15"/>
        <v>3</v>
      </c>
      <c r="T113" s="8">
        <v>0</v>
      </c>
      <c r="U113" s="8">
        <f t="shared" si="16"/>
        <v>50</v>
      </c>
      <c r="W113" t="s">
        <v>68</v>
      </c>
      <c r="X113" t="s">
        <v>68</v>
      </c>
      <c r="Y113" t="s">
        <v>68</v>
      </c>
      <c r="Z113" t="s">
        <v>68</v>
      </c>
      <c r="AA113" t="s">
        <v>69</v>
      </c>
      <c r="AB113" t="s">
        <v>69</v>
      </c>
      <c r="AC113" t="s">
        <v>68</v>
      </c>
      <c r="AD113" t="s">
        <v>68</v>
      </c>
      <c r="AE113" t="s">
        <v>68</v>
      </c>
      <c r="AF113" t="s">
        <v>68</v>
      </c>
      <c r="AG113" t="s">
        <v>68</v>
      </c>
      <c r="AH113" t="s">
        <v>68</v>
      </c>
      <c r="AI113" t="s">
        <v>68</v>
      </c>
      <c r="AJ113" t="s">
        <v>68</v>
      </c>
      <c r="AK113" t="s">
        <v>68</v>
      </c>
      <c r="AL113" t="s">
        <v>68</v>
      </c>
      <c r="AM113" t="s">
        <v>68</v>
      </c>
      <c r="AN113" t="s">
        <v>68</v>
      </c>
      <c r="AO113" t="s">
        <v>68</v>
      </c>
      <c r="AP113" t="s">
        <v>68</v>
      </c>
      <c r="AQ113" t="s">
        <v>69</v>
      </c>
      <c r="AR113" t="s">
        <v>68</v>
      </c>
      <c r="AS113" t="s">
        <v>68</v>
      </c>
      <c r="AT113" t="s">
        <v>68</v>
      </c>
      <c r="AU113" t="s">
        <v>68</v>
      </c>
      <c r="AV113" t="s">
        <v>68</v>
      </c>
      <c r="AW113" t="s">
        <v>68</v>
      </c>
      <c r="AX113" t="s">
        <v>69</v>
      </c>
      <c r="AY113" t="s">
        <v>69</v>
      </c>
      <c r="AZ113" t="s">
        <v>68</v>
      </c>
      <c r="BA113" t="s">
        <v>68</v>
      </c>
      <c r="BB113">
        <f>((COUNTIF(W113:AB113, "Yes") + COUNTIF(AC113:AH113, "Yes") + COUNTIF(AI113:AO113, "Yes") + COUNTIF(AP113:AW113, "Yes") + COUNTIF(AX113:BA113, "Yes")) / 31) *100</f>
        <v>83.870967741935488</v>
      </c>
      <c r="BC113">
        <f>COUNTIF(W113:AB113, "Yes") + COUNTIF(AC113:AH113, "Yes") + COUNTIF(AI113:AO113, "Yes") + COUNTIF(AP113:AW113, "Yes") + COUNTIF(AX113:BA113, "Yes")</f>
        <v>26</v>
      </c>
      <c r="BD113" t="str">
        <f t="shared" si="13"/>
        <v>High</v>
      </c>
      <c r="BE113" t="s">
        <v>76</v>
      </c>
      <c r="BF113" s="13" t="s">
        <v>83</v>
      </c>
      <c r="BG113" s="9">
        <v>2022</v>
      </c>
      <c r="BH113" s="10" t="s">
        <v>72</v>
      </c>
      <c r="BJ113" t="s">
        <v>85</v>
      </c>
    </row>
    <row r="114" spans="1:62" x14ac:dyDescent="0.35">
      <c r="S114" s="8"/>
      <c r="T114" s="8"/>
    </row>
  </sheetData>
  <sortState xmlns:xlrd2="http://schemas.microsoft.com/office/spreadsheetml/2017/richdata2" ref="A2:BA113">
    <sortCondition ref="X2:X113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 Data UGGp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Mark Williams</cp:lastModifiedBy>
  <dcterms:created xsi:type="dcterms:W3CDTF">2026-03-29T00:21:10Z</dcterms:created>
  <dcterms:modified xsi:type="dcterms:W3CDTF">2026-04-10T09:24:05Z</dcterms:modified>
</cp:coreProperties>
</file>